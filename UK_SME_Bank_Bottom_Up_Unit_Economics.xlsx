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
    <numFmt numFmtId="166" formatCode="#,##0.0"/>
    <numFmt numFmtId="167" formatCode="£#,##0.00"/>
    <numFmt numFmtId="168" formatCode="0.00000"/>
    <numFmt numFmtId="169" formatCode="+0.00;-0.00;0.00"/>
    <numFmt numFmtId="170"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3">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7"/>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v1.6 · 22 August 2026 — check github.com/tmth-studio/sme-bank-models for the latest; the version history below tells you what changed since your download.</t>
        </is>
      </c>
    </row>
    <row r="4">
      <c r="B4" s="3" t="inlineStr">
        <is>
          <t>Version history</t>
        </is>
      </c>
    </row>
    <row r="5" ht="52" customHeight="1">
      <c r="B5"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6" ht="52" customHeight="1">
      <c r="B6"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7" ht="52" customHeight="1">
      <c r="B7"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8" ht="40" customHeight="1">
      <c r="B8"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9" ht="28" customHeight="1">
      <c r="B9" s="4" t="inlineStr">
        <is>
          <t>• v1.2.1 (21 Aug 2026) — documentation only: added 'What period this models' to this Guide (steady-state annual snapshot, stationary book, churn replacement costed, transitions out of scope). No formula or input changes — results identical to v1.2.</t>
        </is>
      </c>
    </row>
    <row r="10" ht="28" customHeight="1">
      <c r="B10"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1" ht="28" customHeight="1">
      <c r="B11"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2" ht="28" customHeight="1">
      <c r="B12" s="4" t="inlineStr">
        <is>
          <t>• v1.0 (10 Aug 2026) — first published version: 9 tabs + flow register, FTP with liquidity/behavioural terms, fraud/FSCS/change-the-bank lines, segment-pod LMUs, bridge check.</t>
        </is>
      </c>
    </row>
    <row r="14">
      <c r="B14" s="3" t="inlineStr">
        <is>
          <t>What this is</t>
        </is>
      </c>
    </row>
    <row r="15" ht="39" customHeight="1">
      <c r="B15"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16" ht="39" customHeight="1">
      <c r="B16"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18">
      <c r="B18" s="3" t="inlineStr">
        <is>
          <t>What period this models</t>
        </is>
      </c>
    </row>
    <row r="19" ht="26" customHeight="1">
      <c r="B19" s="4" t="inlineStr">
        <is>
          <t>• One representative operating year at steady state. Balances are annual averages; rates and volumes are annual. There is no time axis, no ramp and no vintage cohorts — the model is a snapshot, not a forecast.</t>
        </is>
      </c>
    </row>
    <row r="20" ht="78" customHeight="1">
      <c r="B20"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1" ht="26" customHeight="1">
      <c r="B21" s="4" t="inlineStr">
        <is>
          <t>• The capital charge (cost of equity on allocated capital) is the incumbent analogue of Simanis's start-up-cost amortisation: capital earns its required return inside the steady-state P&amp;L.</t>
        </is>
      </c>
    </row>
    <row r="22" ht="52" customHeight="1">
      <c r="B22"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4">
      <c r="B24" s="3" t="inlineStr">
        <is>
          <t>How the tabs map to the methodology</t>
        </is>
      </c>
    </row>
    <row r="25" ht="24" customHeight="1">
      <c r="B25" s="4" t="inlineStr">
        <is>
          <t>• Inputs — every assumption in one place, with sources. Edit blue cells; yellow cells are the biggest levers.</t>
        </is>
      </c>
    </row>
    <row r="26" ht="26" customHeight="1">
      <c r="B26" s="4" t="inlineStr">
        <is>
          <t>• 1. Customers — Step 1: bound the operating unit. Reachable market (R) × penetration (P) → customers → product volumes and balances.</t>
        </is>
      </c>
    </row>
    <row r="27" ht="26" customHeight="1">
      <c r="B27" s="4" t="inlineStr">
        <is>
          <t>• 2. Revenues — unit revenue per product: interest margins measured against internal funds transfer prices (Bank Rate for floating, + premium for term), plus fees.</t>
        </is>
      </c>
    </row>
    <row r="28" ht="39" customHeight="1">
      <c r="B28" s="4" t="inlineStr">
        <is>
          <t>• 3. HR &amp; Activity — Step 2: every FTE derived from activity drivers (hours per onboarding, review, renewal…) — nothing is assumed as headcount. From v1.5 this tab is also the PROCESS REGISTER (columns M-T), with the head-office process register below it.</t>
        </is>
      </c>
    </row>
    <row r="29" ht="26" customHeight="1">
      <c r="B29" s="4" t="inlineStr">
        <is>
          <t>• 1b. Demand &amp; CEPs — the demand layer (v1.4). Penetration is derived, not assumed. Mode cell on Inputs section L: OFF reproduces v1.3, CALIBRATE reports the implied event rates, LIVE derives.</t>
        </is>
      </c>
    </row>
    <row r="30" ht="39" customHeight="1">
      <c r="B30"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1" ht="52" customHeight="1">
      <c r="B31"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2" ht="26" customHeight="1">
      <c r="B32" s="4" t="inlineStr">
        <is>
          <t>• 5. Risk &amp; Capital — Step 3: expected credit losses (PD × LGD), risk-weighted assets, allocated equity, and the required return on it.</t>
        </is>
      </c>
    </row>
    <row r="33" ht="91" customHeight="1">
      <c r="B33"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34" ht="26" customHeight="1">
      <c r="B34" s="4" t="inlineStr">
        <is>
          <t>• 7. P&amp;L — the whole-cost P&amp;L of the operating unit at steady state, key ratios vs industry benchmarks, and the Simanis cost-driver table.</t>
        </is>
      </c>
    </row>
    <row r="35" ht="26" customHeight="1">
      <c r="B35" s="4" t="inlineStr">
        <is>
          <t>• 8. Org Structure — the whole-bank organisation implied by the model: front-line FTEs from activity drivers × number of centres, head-office FTEs backed out of the per-customer head-office cost allocations.</t>
        </is>
      </c>
    </row>
    <row r="36" ht="52" customHeight="1">
      <c r="B36"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38">
      <c r="B38" s="3" t="inlineStr">
        <is>
          <t>Colour legend</t>
        </is>
      </c>
    </row>
    <row r="39" ht="26" customHeight="1">
      <c r="B39" s="4" t="inlineStr">
        <is>
          <t>• Blue = hardcoded input (edit these) · Yellow fill = key assumption / sensitivity lever · Black = formula · Green = link to another sheet.</t>
        </is>
      </c>
    </row>
    <row r="41">
      <c r="B41" s="3" t="inlineStr">
        <is>
          <t>Reading the results</t>
        </is>
      </c>
    </row>
    <row r="42" ht="52" customHeight="1">
      <c r="B42"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43" ht="39" customHeight="1">
      <c r="B43"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45">
      <c r="B45" s="3" t="inlineStr">
        <is>
          <t>Caveats</t>
        </is>
      </c>
    </row>
    <row r="46" ht="39" customHeight="1">
      <c r="B46" s="4" t="inlineStr">
        <is>
          <t>• Benchmarks are as of August 2026 (Bank Rate 3.75%; BoE effective new SME loan rate ~6.3%; commercial interchange 1.65–1.90%; invoice finance discount base+1–3%). Items marked 'Assumption' are illustrative and should be replaced with your own data.</t>
        </is>
      </c>
    </row>
    <row r="47" ht="65" customHeight="1">
      <c r="B47"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N. HEAD-OFFICE FIXED COST (scale generalisation, v1.6)</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40" t="inlineStr"/>
    </row>
    <row r="181">
      <c r="B181" s="10" t="inlineStr">
        <is>
          <t>Technology &amp; central operations — fixed component</t>
        </is>
      </c>
      <c r="C181" s="27" t="n">
        <v>0</v>
      </c>
      <c r="D181" s="28" t="n">
        <v>0</v>
      </c>
      <c r="E181" s="28" t="n">
        <v>0</v>
      </c>
      <c r="F181" s="26">
        <f>CHOOSE('Inputs'!$C$4,D181,C181,E181)</f>
        <v/>
      </c>
      <c r="G181" s="14" t="inlineStr">
        <is>
          <t>£/yr</t>
        </is>
      </c>
      <c r="H181"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2">
      <c r="B182" s="10" t="inlineStr">
        <is>
          <t>Risk, compliance &amp; audit — fixed component</t>
        </is>
      </c>
      <c r="C182" s="27" t="n">
        <v>0</v>
      </c>
      <c r="D182" s="28" t="n">
        <v>0</v>
      </c>
      <c r="E182" s="28" t="n">
        <v>0</v>
      </c>
      <c r="F182" s="26">
        <f>CHOOSE('Inputs'!$C$4,D182,C182,E182)</f>
        <v/>
      </c>
      <c r="G182" s="14" t="inlineStr">
        <is>
          <t>£/yr</t>
        </is>
      </c>
      <c r="H182" s="5" t="inlineStr">
        <is>
          <t>As above. Regulatory and compliance cost has a large irreducible floor that does not scale down with customers.</t>
        </is>
      </c>
    </row>
    <row r="183">
      <c r="B183" s="10" t="inlineStr">
        <is>
          <t>Corporate centre — fixed component</t>
        </is>
      </c>
      <c r="C183" s="27" t="n">
        <v>0</v>
      </c>
      <c r="D183" s="28" t="n">
        <v>0</v>
      </c>
      <c r="E183" s="28" t="n">
        <v>0</v>
      </c>
      <c r="F183" s="26">
        <f>CHOOSE('Inputs'!$C$4,D183,C183,E183)</f>
        <v/>
      </c>
      <c r="G183" s="14" t="inlineStr">
        <is>
          <t>£/yr</t>
        </is>
      </c>
      <c r="H183" s="5" t="inlineStr">
        <is>
          <t>As above. Platform build, brand and executive cost are the least customer-driven lines in the model.</t>
        </is>
      </c>
    </row>
    <row r="184">
      <c r="B184" s="7" t="inlineStr">
        <is>
          <t>L. CATEGORY ENTRY POINTS (demand layer, v1.3)</t>
        </is>
      </c>
      <c r="C184" s="8" t="inlineStr"/>
      <c r="D184" s="8" t="inlineStr"/>
      <c r="E184" s="8" t="inlineStr"/>
    </row>
    <row r="185">
      <c r="B185" s="9" t="inlineStr">
        <is>
          <t>Item</t>
        </is>
      </c>
      <c r="C185" s="9" t="inlineStr">
        <is>
          <t>Central</t>
        </is>
      </c>
      <c r="D185" s="9" t="inlineStr">
        <is>
          <t>Pessimistic</t>
        </is>
      </c>
      <c r="E185" s="9" t="inlineStr">
        <is>
          <t>Optimistic</t>
        </is>
      </c>
      <c r="F185" s="9" t="inlineStr">
        <is>
          <t>ACTIVE</t>
        </is>
      </c>
      <c r="G185" s="9" t="inlineStr">
        <is>
          <t>Unit</t>
        </is>
      </c>
      <c r="H185" s="9" t="inlineStr">
        <is>
          <t>Source / note</t>
        </is>
      </c>
    </row>
    <row r="186">
      <c r="B186" s="10" t="inlineStr">
        <is>
          <t>CEP layer mode (OFF · CALIBRATE · LIVE)</t>
        </is>
      </c>
      <c r="C186" s="41" t="inlineStr">
        <is>
          <t>OFF</t>
        </is>
      </c>
      <c r="D186" s="14" t="inlineStr">
        <is>
          <t>OFF</t>
        </is>
      </c>
      <c r="E186" s="14" t="inlineStr">
        <is>
          <t>OFF</t>
        </is>
      </c>
      <c r="F186" s="42">
        <f>CHOOSE('Inputs'!$C$4,D186,C186,E186)</f>
        <v/>
      </c>
      <c r="G186" s="14" t="inlineStr">
        <is>
          <t>mode</t>
        </is>
      </c>
      <c r="H186"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87">
      <c r="B187" s="10" t="inlineStr">
        <is>
          <t>Instant savings — average holding life</t>
        </is>
      </c>
      <c r="C187" s="29" t="n">
        <v>0</v>
      </c>
      <c r="D187" s="30" t="n">
        <v>0</v>
      </c>
      <c r="E187" s="30" t="n">
        <v>0</v>
      </c>
      <c r="F187" s="31">
        <f>CHOOSE('Inputs'!$C$4,D187,C187,E187)</f>
        <v/>
      </c>
      <c r="G187" s="14" t="inlineStr">
        <is>
          <t>years</t>
        </is>
      </c>
      <c r="H187" s="5" t="inlineStr">
        <is>
          <t>REQUIRED FOR LIVE MODE — leave 0 and this product falls back to its hardcoded penetration. Cohort query: mean tenure from account-open to account-close on the savings book.</t>
        </is>
      </c>
    </row>
    <row r="188">
      <c r="B188" s="10" t="inlineStr">
        <is>
          <t>Notice &amp; fixed — average holding life</t>
        </is>
      </c>
      <c r="C188" s="29" t="n">
        <v>0</v>
      </c>
      <c r="D188" s="30" t="n">
        <v>0</v>
      </c>
      <c r="E188" s="30" t="n">
        <v>0</v>
      </c>
      <c r="F188" s="31">
        <f>CHOOSE('Inputs'!$C$4,D188,C188,E188)</f>
        <v/>
      </c>
      <c r="G188" s="14" t="inlineStr">
        <is>
          <t>years</t>
        </is>
      </c>
      <c r="H188" s="5" t="inlineStr">
        <is>
          <t>REQUIRED FOR LIVE MODE. Cohort query: mean tenure including rollovers; a rolled deposit is one holding, not two.</t>
        </is>
      </c>
    </row>
    <row r="189">
      <c r="B189" s="10" t="inlineStr">
        <is>
          <t>Overdraft — average facility life</t>
        </is>
      </c>
      <c r="C189" s="29" t="n">
        <v>0</v>
      </c>
      <c r="D189" s="30" t="n">
        <v>0</v>
      </c>
      <c r="E189" s="30" t="n">
        <v>0</v>
      </c>
      <c r="F189" s="31">
        <f>CHOOSE('Inputs'!$C$4,D189,C189,E189)</f>
        <v/>
      </c>
      <c r="G189" s="14" t="inlineStr">
        <is>
          <t>years</t>
        </is>
      </c>
      <c r="H189" s="5" t="inlineStr">
        <is>
          <t>REQUIRED FOR LIVE MODE. Cohort query: mean time from facility grant to facility closed (not annual renewal).</t>
        </is>
      </c>
    </row>
    <row r="190">
      <c r="B190" s="10" t="inlineStr">
        <is>
          <t>Business credit card — average holding life</t>
        </is>
      </c>
      <c r="C190" s="29" t="n">
        <v>0</v>
      </c>
      <c r="D190" s="30" t="n">
        <v>0</v>
      </c>
      <c r="E190" s="30" t="n">
        <v>0</v>
      </c>
      <c r="F190" s="31">
        <f>CHOOSE('Inputs'!$C$4,D190,C190,E190)</f>
        <v/>
      </c>
      <c r="G190" s="14" t="inlineStr">
        <is>
          <t>years</t>
        </is>
      </c>
      <c r="H190" s="5" t="inlineStr">
        <is>
          <t>REQUIRED FOR LIVE MODE. Cohort query: mean tenure from card issued to account closed.</t>
        </is>
      </c>
    </row>
    <row r="191">
      <c r="B191" s="10" t="inlineStr">
        <is>
          <t>Payments &amp; FX — average active-user life</t>
        </is>
      </c>
      <c r="C191" s="29" t="n">
        <v>0</v>
      </c>
      <c r="D191" s="30" t="n">
        <v>0</v>
      </c>
      <c r="E191" s="30" t="n">
        <v>0</v>
      </c>
      <c r="F191" s="31">
        <f>CHOOSE('Inputs'!$C$4,D191,C191,E191)</f>
        <v/>
      </c>
      <c r="G191" s="14" t="inlineStr">
        <is>
          <t>years</t>
        </is>
      </c>
      <c r="H191" s="5" t="inlineStr">
        <is>
          <t>REQUIRED FOR LIVE MODE. Cohort query: mean time from first international payment to 12 months' inactivity.</t>
        </is>
      </c>
    </row>
    <row r="192">
      <c r="B192" s="7" t="inlineStr">
        <is>
          <t>M. PROCESS LAYER (Step 2 performance, v1.4)</t>
        </is>
      </c>
      <c r="C192" s="8" t="inlineStr"/>
      <c r="D192" s="8" t="inlineStr"/>
      <c r="E192" s="8" t="inlineStr"/>
    </row>
    <row r="193">
      <c r="B193" s="9" t="inlineStr">
        <is>
          <t>Item</t>
        </is>
      </c>
      <c r="C193" s="9" t="inlineStr">
        <is>
          <t>Central</t>
        </is>
      </c>
      <c r="D193" s="9" t="inlineStr">
        <is>
          <t>Pessimistic</t>
        </is>
      </c>
      <c r="E193" s="9" t="inlineStr">
        <is>
          <t>Optimistic</t>
        </is>
      </c>
      <c r="F193" s="9" t="inlineStr">
        <is>
          <t>ACTIVE</t>
        </is>
      </c>
      <c r="G193" s="9" t="inlineStr">
        <is>
          <t>Unit</t>
        </is>
      </c>
      <c r="H193" s="9" t="inlineStr">
        <is>
          <t>Source / note</t>
        </is>
      </c>
    </row>
    <row r="194">
      <c r="B194" s="10" t="inlineStr">
        <is>
          <t>Process layer mode (OFF · DIAGNOSE · LIVE)</t>
        </is>
      </c>
      <c r="C194" s="41" t="inlineStr">
        <is>
          <t>OFF</t>
        </is>
      </c>
      <c r="D194" s="14" t="inlineStr">
        <is>
          <t>OFF</t>
        </is>
      </c>
      <c r="E194" s="14" t="inlineStr">
        <is>
          <t>OFF</t>
        </is>
      </c>
      <c r="F194" s="42">
        <f>CHOOSE('Inputs'!$C$4,D194,C194,E194)</f>
        <v/>
      </c>
      <c r="G194" s="14" t="inlineStr">
        <is>
          <t>mode</t>
        </is>
      </c>
      <c r="H194"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5">
      <c r="B195" s="10" t="inlineStr">
        <is>
          <t>Top-down benchmark: target cost:income ratio</t>
        </is>
      </c>
      <c r="C195" s="23" t="n">
        <v>0.26</v>
      </c>
      <c r="D195" s="18" t="n">
        <v>0.26</v>
      </c>
      <c r="E195" s="18" t="n">
        <v>0.26</v>
      </c>
      <c r="F195" s="19">
        <f>CHOOSE('Inputs'!$C$4,D195,C195,E195)</f>
        <v/>
      </c>
      <c r="G195" s="14" t="inlineStr">
        <is>
          <t>%</t>
        </is>
      </c>
      <c r="H195"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'Inputs'!$F$186</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'Inputs'!$F$187</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'Inputs'!$F$188</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'Inputs'!$F$189</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'Inputs'!$F$190</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'Inputs'!$F$191</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IF('Inputs'!$F$194&lt;&gt;"LIVE",E11,IF(M11&lt;&gt;"TRANSACTIONAL",E11,IF(OR(N11="",N11&lt;=0),E11,E11/N11)))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IF('Inputs'!$F$194&lt;&gt;"LIVE",E12,IF(M12&lt;&gt;"TRANSACTIONAL",E12,IF(OR(N12="",N12&lt;=0),E12,E12/N12)))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IF('Inputs'!$F$194&lt;&gt;"LIVE",E13,IF(M13&lt;&gt;"TRANSACTIONAL",E13,IF(OR(N13="",N13&lt;=0),E13,E13/N13)))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IF('Inputs'!$F$194&lt;&gt;"LIVE",E14,IF(M14&lt;&gt;"TRANSACTIONAL",E14,IF(OR(N14="",N14&lt;=0),E14,E14/N14)))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IF('Inputs'!$F$194&lt;&gt;"LIVE",E15,IF(M15&lt;&gt;"TRANSACTIONAL",E15,IF(OR(N15="",N15&lt;=0),E15,E15/N15)))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IF('Inputs'!$F$194&lt;&gt;"LIVE",E16,IF(M16&lt;&gt;"TRANSACTIONAL",E16,IF(OR(N16="",N16&lt;=0),E16,E16/N16)))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IF('Inputs'!$F$194&lt;&gt;"LIVE",E17,IF(M17&lt;&gt;"TRANSACTIONAL",E17,IF(OR(N17="",N17&lt;=0),E17,E17/N17)))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IF('Inputs'!$F$194&lt;&gt;"LIVE",E18,IF(M18&lt;&gt;"TRANSACTIONAL",E18,IF(OR(N18="",N18&lt;=0),E18,E18/N18)))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IF('Inputs'!$F$194&lt;&gt;"LIVE",E19,IF(M19&lt;&gt;"TRANSACTIONAL",E19,IF(OR(N19="",N19&lt;=0),E19,E19/N19)))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IF('Inputs'!$F$194&lt;&gt;"LIVE",E20,IF(M20&lt;&gt;"TRANSACTIONAL",E20,IF(OR(N20="",N20&lt;=0),E20,E20/N20)))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IF('Inputs'!$F$194&lt;&gt;"LIVE",E21,IF(M21&lt;&gt;"TRANSACTIONAL",E21,IF(OR(N21="",N21&lt;=0),E21,E21/N21)))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IF('Inputs'!$F$194&lt;&gt;"LIVE",E22,IF(M22&lt;&gt;"TRANSACTIONAL",E22,IF(OR(N22="",N22&lt;=0),E22,E22/N22)))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IF('Inputs'!$F$194&lt;&gt;"LIVE",E23,IF(M23&lt;&gt;"TRANSACTIONAL",E23,IF(OR(N23="",N23&lt;=0),E23,E23/N23)))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IF('Inputs'!$F$194&lt;&gt;"LIVE",E24,IF(M24&lt;&gt;"TRANSACTIONAL",E24,IF(OR(N24="",N24&lt;=0),E24,E24/N24)))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IF('Inputs'!$F$194&lt;&gt;"LIVE",E25,IF(M25&lt;&gt;"TRANSACTIONAL",E25,IF(OR(N25="",N25&lt;=0),E25,E25/N25)))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IF('Inputs'!$F$194&lt;&gt;"LIVE",E26,IF(M26&lt;&gt;"TRANSACTIONAL",E26,IF(OR(N26="",N26&lt;=0),E26,E26/N26)))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IF('Inputs'!$F$194&lt;&gt;"LIVE",E27,IF(M27&lt;&gt;"TRANSACTIONAL",E27,IF(OR(N27="",N27&lt;=0),E27,E27/N27)))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IF('Inputs'!$F$194&lt;&gt;"LIVE",E28,IF(M28&lt;&gt;"TRANSACTIONAL",E28,IF(OR(N28="",N28&lt;=0),E28,E28/N28)))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IF('Inputs'!$F$194&lt;&gt;"LIVE",E29,IF(M29&lt;&gt;"TRANSACTIONAL",E29,IF(OR(N29="",N29&lt;=0),E29,E29/N29)))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IF('Inputs'!$F$194&lt;&gt;"LIVE",E30,IF(M30&lt;&gt;"TRANSACTIONAL",E30,IF(OR(N30="",N30&lt;=0),E30,E30/N30)))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IF('Inputs'!$F$194&lt;&gt;"LIVE",E31,IF(M31&lt;&gt;"TRANSACTIONAL",E31,IF(OR(N31="",N31&lt;=0),E31,E31/N31)))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IF('Inputs'!$F$194&lt;&gt;"LIVE",E32,IF(M32&lt;&gt;"TRANSACTIONAL",E32,IF(OR(N32="",N32&lt;=0),E32,E32/N32)))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IF('Inputs'!$F$194&lt;&gt;"LIVE",E33,IF(M33&lt;&gt;"TRANSACTIONAL",E33,IF(OR(N33="",N33&lt;=0),E33,E33/N33)))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'Inputs'!$F$195</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'1. Customers'!$C$4*'Inputs'!$F$128</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'1. Customers'!$C$4*'Inputs'!$F$129+'Inputs'!$F$181</f>
        <v/>
      </c>
      <c r="E13" s="14" t="inlineStr">
        <is>
          <t>Per-customer rate + fixed component (Inputs section N)</t>
        </is>
      </c>
    </row>
    <row r="14">
      <c r="B14" s="10" t="inlineStr">
        <is>
          <t>Risk, compliance, financial crime &amp; audit</t>
        </is>
      </c>
      <c r="C14" s="46">
        <f>'1. Customers'!$C$4*'Inputs'!$F$130+'Inputs'!$F$182</f>
        <v/>
      </c>
      <c r="E14" s="14" t="inlineStr">
        <is>
          <t>Per-customer rate + fixed component (Inputs section N)</t>
        </is>
      </c>
    </row>
    <row r="15">
      <c r="B15" s="10" t="inlineStr">
        <is>
          <t>Finance, HR, exec, brand &amp; residual marketing</t>
        </is>
      </c>
      <c r="C15" s="46">
        <f>'1. Customers'!$C$4*'Inputs'!$F$131+'Inputs'!$F$183</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'1. Customers'!$C$4*'Inputs'!$F$145</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91"/>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£4,552,743 · cost:income 45.7% · RoE 21.8%</t>
        </is>
      </c>
    </row>
    <row r="7">
      <c r="B7" s="45" t="inlineStr">
        <is>
          <t>Input</t>
        </is>
      </c>
      <c r="C7" s="45" t="inlineStr">
        <is>
          <t>Value</t>
        </is>
      </c>
      <c r="D7" s="45" t="inlineStr">
        <is>
          <t>Unit</t>
        </is>
      </c>
      <c r="E7" s="45" t="inlineStr">
        <is>
          <t>e(PBT)</t>
        </is>
      </c>
      <c r="F7" s="45" t="inlineStr">
        <is>
          <t>e(Cost:income)</t>
        </is>
      </c>
      <c r="G7" s="45" t="inlineStr">
        <is>
          <t>e(RoE)</t>
        </is>
      </c>
      <c r="H7" s="45" t="inlineStr">
        <is>
          <t>e(Income)</t>
        </is>
      </c>
    </row>
    <row r="8">
      <c r="B8" s="10" t="inlineStr">
        <is>
          <t>Term loans — customer rate</t>
        </is>
      </c>
      <c r="C8" s="63" t="n">
        <v>0.0625</v>
      </c>
      <c r="D8" s="14" t="inlineStr">
        <is>
          <t>% p.a.</t>
        </is>
      </c>
      <c r="E8" s="71" t="n">
        <v>1.247681048892727</v>
      </c>
      <c r="F8" s="71" t="n">
        <v>-0.5920579472668667</v>
      </c>
      <c r="G8" s="71" t="n">
        <v>1.148369761396499</v>
      </c>
      <c r="H8" s="71" t="n">
        <v>0.5955841505629065</v>
      </c>
    </row>
    <row r="9">
      <c r="B9" s="10" t="inlineStr">
        <is>
          <t>Reachable SMEs in region (R)</t>
        </is>
      </c>
      <c r="C9" s="63" t="n">
        <v>18750</v>
      </c>
      <c r="D9" s="14" t="inlineStr">
        <is>
          <t>businesses</t>
        </is>
      </c>
      <c r="E9" s="71" t="n">
        <v>1.00000000000003</v>
      </c>
      <c r="F9" s="71" t="n">
        <v>0</v>
      </c>
      <c r="G9" s="71" t="n">
        <v>0</v>
      </c>
      <c r="H9" s="71" t="n">
        <v>1.00000000000002</v>
      </c>
    </row>
    <row r="10">
      <c r="B10" s="10" t="inlineStr">
        <is>
          <t>Steady-state penetration (P)</t>
        </is>
      </c>
      <c r="C10" s="63" t="n">
        <v>0.16</v>
      </c>
      <c r="D10" s="14" t="inlineStr">
        <is>
          <t>% of reachable</t>
        </is>
      </c>
      <c r="E10" s="71" t="n">
        <v>1.00000000000003</v>
      </c>
      <c r="F10" s="71" t="n">
        <v>0</v>
      </c>
      <c r="G10" s="71" t="n">
        <v>0</v>
      </c>
      <c r="H10" s="71" t="n">
        <v>1.00000000000002</v>
      </c>
    </row>
    <row r="11">
      <c r="B11" s="10" t="inlineStr">
        <is>
          <t>Business current account — penetration</t>
        </is>
      </c>
      <c r="C11" s="63" t="n">
        <v>1</v>
      </c>
      <c r="D11" s="14" t="inlineStr">
        <is>
          <t>% of customers</t>
        </is>
      </c>
      <c r="E11" s="71" t="n">
        <v>0.5316502207558557</v>
      </c>
      <c r="F11" s="71" t="n">
        <v>-0.2263724971407025</v>
      </c>
      <c r="G11" s="71" t="n">
        <v>0.4858715994436417</v>
      </c>
      <c r="H11" s="71" t="n">
        <v>0.2763510458611886</v>
      </c>
    </row>
    <row r="12">
      <c r="B12" s="10" t="inlineStr">
        <is>
          <t>Term loans — average balance</t>
        </is>
      </c>
      <c r="C12" s="63" t="n">
        <v>250000</v>
      </c>
      <c r="D12" s="14" t="inlineStr">
        <is>
          <t>£/loan</t>
        </is>
      </c>
      <c r="E12" s="71" t="n">
        <v>0.4485219355690576</v>
      </c>
      <c r="F12" s="71" t="n">
        <v>-0.2508408142510311</v>
      </c>
      <c r="G12" s="71" t="n">
        <v>-0.172627245775743</v>
      </c>
      <c r="H12" s="71" t="n">
        <v>0.2514716076793886</v>
      </c>
    </row>
    <row r="13">
      <c r="B13" s="10" t="inlineStr">
        <is>
          <t>BCA — average credit balance</t>
        </is>
      </c>
      <c r="C13" s="63" t="n">
        <v>18000</v>
      </c>
      <c r="D13" s="14" t="inlineStr">
        <is>
          <t>£/account</t>
        </is>
      </c>
      <c r="E13" s="71" t="n">
        <v>0.4269286171458919</v>
      </c>
      <c r="F13" s="71" t="n">
        <v>-0.2009624805300439</v>
      </c>
      <c r="G13" s="71" t="n">
        <v>0.3928629971036865</v>
      </c>
      <c r="H13" s="71" t="n">
        <v>0.2058338824345483</v>
      </c>
    </row>
    <row r="14">
      <c r="B14" s="10" t="inlineStr">
        <is>
          <t>Term loans / commercial mortgages — penetration</t>
        </is>
      </c>
      <c r="C14" s="63" t="n">
        <v>0.12</v>
      </c>
      <c r="D14" s="14" t="inlineStr">
        <is>
          <t>%</t>
        </is>
      </c>
      <c r="E14" s="71" t="n">
        <v>0.4168087496628946</v>
      </c>
      <c r="F14" s="71" t="n">
        <v>-0.2178158778235073</v>
      </c>
      <c r="G14" s="71" t="n">
        <v>-0.2041443250685729</v>
      </c>
      <c r="H14" s="71" t="n">
        <v>0.2514716076793886</v>
      </c>
    </row>
    <row r="15">
      <c r="B15" s="10" t="inlineStr">
        <is>
          <t>Asset finance — customer yield</t>
        </is>
      </c>
      <c r="C15" s="63" t="n">
        <v>0.08500000000000001</v>
      </c>
      <c r="D15" s="14" t="inlineStr">
        <is>
          <t>% p.a.</t>
        </is>
      </c>
      <c r="E15" s="71" t="n">
        <v>0.3619938616520847</v>
      </c>
      <c r="F15" s="71" t="n">
        <v>-0.1725007356564119</v>
      </c>
      <c r="G15" s="71" t="n">
        <v>0.3334124986436103</v>
      </c>
      <c r="H15" s="71" t="n">
        <v>0.1727988148833219</v>
      </c>
    </row>
    <row r="16">
      <c r="B16" s="10" t="inlineStr">
        <is>
          <t>Invoice finance — average funds in use (advances)</t>
        </is>
      </c>
      <c r="C16" s="63" t="n">
        <v>150000</v>
      </c>
      <c r="D16" s="14" t="inlineStr">
        <is>
          <t>£/client</t>
        </is>
      </c>
      <c r="E16" s="71" t="n">
        <v>0.3101871844046677</v>
      </c>
      <c r="F16" s="71" t="n">
        <v>-0.1543074556452041</v>
      </c>
      <c r="G16" s="71" t="n">
        <v>0.209829595204097</v>
      </c>
      <c r="H16" s="71" t="n">
        <v>0.1545459315400012</v>
      </c>
    </row>
    <row r="17">
      <c r="B17" s="10" t="inlineStr">
        <is>
          <t>Notice &amp; fixed deposits — rate paid</t>
        </is>
      </c>
      <c r="C17" s="63" t="n">
        <v>0.041</v>
      </c>
      <c r="D17" s="14" t="inlineStr">
        <is>
          <t>% p.a.</t>
        </is>
      </c>
      <c r="E17" s="71" t="n">
        <v>-0.3069295380274881</v>
      </c>
      <c r="F17" s="71" t="n">
        <v>0.1467286786560457</v>
      </c>
      <c r="G17" s="71" t="n">
        <v>-0.2828446455047969</v>
      </c>
      <c r="H17" s="71" t="n">
        <v>-0.1465137010384164</v>
      </c>
    </row>
    <row r="18">
      <c r="B18" s="10" t="inlineStr">
        <is>
          <t>Invoice finance — penetration</t>
        </is>
      </c>
      <c r="C18" s="63" t="n">
        <v>0.03</v>
      </c>
      <c r="D18" s="14" t="inlineStr">
        <is>
          <t>%</t>
        </is>
      </c>
      <c r="E18" s="71" t="n">
        <v>0.2968754767403625</v>
      </c>
      <c r="F18" s="71" t="n">
        <v>-0.1404317212375283</v>
      </c>
      <c r="G18" s="71" t="n">
        <v>0.1965312055379295</v>
      </c>
      <c r="H18" s="71" t="n">
        <v>0.1545459315400012</v>
      </c>
    </row>
    <row r="19">
      <c r="B19" s="10" t="inlineStr">
        <is>
          <t>Head office: technology &amp; central operations</t>
        </is>
      </c>
      <c r="C19" s="63" t="n">
        <v>450</v>
      </c>
      <c r="D19" s="14" t="inlineStr">
        <is>
          <t>£/customer/yr</t>
        </is>
      </c>
      <c r="E19" s="71" t="n">
        <v>-0.2965245383102628</v>
      </c>
      <c r="F19" s="71" t="n">
        <v>0.3095661825398512</v>
      </c>
      <c r="G19" s="71" t="n">
        <v>-0.2965245383105712</v>
      </c>
      <c r="H19" s="71" t="n">
        <v>0</v>
      </c>
    </row>
    <row r="20">
      <c r="B20" s="10" t="inlineStr">
        <is>
          <t>Instant-access savings — rate paid</t>
        </is>
      </c>
      <c r="C20" s="63" t="n">
        <v>0.033</v>
      </c>
      <c r="D20" s="14" t="inlineStr">
        <is>
          <t>% p.a.</t>
        </is>
      </c>
      <c r="E20" s="71" t="n">
        <v>-0.2635102375261357</v>
      </c>
      <c r="F20" s="71" t="n">
        <v>0.1259457965071908</v>
      </c>
      <c r="G20" s="71" t="n">
        <v>-0.2428241773307234</v>
      </c>
      <c r="H20" s="71" t="n">
        <v>-0.125787372598882</v>
      </c>
    </row>
    <row r="21">
      <c r="B21" s="10" t="inlineStr">
        <is>
          <t>Invoice finance — funded invoices as multiple of advances</t>
        </is>
      </c>
      <c r="C21" s="63" t="n">
        <v>8</v>
      </c>
      <c r="D21" s="14" t="inlineStr">
        <is>
          <t>x p.a.</t>
        </is>
      </c>
      <c r="E21" s="71" t="n">
        <v>0.2395547613874036</v>
      </c>
      <c r="F21" s="71" t="n">
        <v>-0.1142215421111091</v>
      </c>
      <c r="G21" s="71" t="n">
        <v>0.2206618790426836</v>
      </c>
      <c r="H21" s="71" t="n">
        <v>0.1143521569080781</v>
      </c>
    </row>
    <row r="22">
      <c r="B22" s="10" t="inlineStr">
        <is>
          <t>Invoice finance — service fee</t>
        </is>
      </c>
      <c r="C22" s="63" t="n">
        <v>0.01</v>
      </c>
      <c r="D22" s="14" t="inlineStr">
        <is>
          <t>% of funded invoices</t>
        </is>
      </c>
      <c r="E22" s="71" t="n">
        <v>0.2395547613874036</v>
      </c>
      <c r="F22" s="71" t="n">
        <v>-0.1142215421111091</v>
      </c>
      <c r="G22" s="71" t="n">
        <v>0.2206618790426836</v>
      </c>
      <c r="H22" s="71" t="n">
        <v>0.1143521569080781</v>
      </c>
    </row>
    <row r="23">
      <c r="B23" s="10" t="inlineStr">
        <is>
          <t>Bank of England Bank Rate</t>
        </is>
      </c>
      <c r="C23" s="63" t="n">
        <v>0.0375</v>
      </c>
      <c r="D23" s="14" t="inlineStr">
        <is>
          <t>% p.a.</t>
        </is>
      </c>
      <c r="E23" s="71" t="n">
        <v>0.1990512830997236</v>
      </c>
      <c r="F23" s="71" t="n">
        <v>-0.09492750668173035</v>
      </c>
      <c r="G23" s="71" t="n">
        <v>0.1931242862657616</v>
      </c>
      <c r="H23" s="71" t="n">
        <v>0.09501770461968793</v>
      </c>
    </row>
    <row r="24">
      <c r="B24" s="10" t="inlineStr">
        <is>
          <t>International payments &amp; FX — penetration</t>
        </is>
      </c>
      <c r="C24" s="63" t="n">
        <v>0.2</v>
      </c>
      <c r="D24" s="14" t="inlineStr">
        <is>
          <t>%</t>
        </is>
      </c>
      <c r="E24" s="71" t="n">
        <v>0.1687945307331029</v>
      </c>
      <c r="F24" s="71" t="n">
        <v>-0.08000540090128463</v>
      </c>
      <c r="G24" s="71" t="n">
        <v>0.1554207840445721</v>
      </c>
      <c r="H24" s="71" t="n">
        <v>0.08099944447655529</v>
      </c>
    </row>
    <row r="25">
      <c r="B25" s="10" t="inlineStr">
        <is>
          <t>Asset finance — average balance</t>
        </is>
      </c>
      <c r="C25" s="63" t="n">
        <v>80000</v>
      </c>
      <c r="D25" s="14" t="inlineStr">
        <is>
          <t>£/agreement</t>
        </is>
      </c>
      <c r="E25" s="71" t="n">
        <v>0.1658745747382735</v>
      </c>
      <c r="F25" s="71" t="n">
        <v>-0.09273546655296665</v>
      </c>
      <c r="G25" s="71" t="n">
        <v>0.008961968797843937</v>
      </c>
      <c r="H25" s="71" t="n">
        <v>0.09282154504571802</v>
      </c>
    </row>
    <row r="26">
      <c r="B26" s="10" t="inlineStr">
        <is>
          <t>Head office: risk, compliance, financial crime, audit</t>
        </is>
      </c>
      <c r="C26" s="63" t="n">
        <v>250</v>
      </c>
      <c r="D26" s="14" t="inlineStr">
        <is>
          <t>£/customer/yr</t>
        </is>
      </c>
      <c r="E26" s="71" t="n">
        <v>-0.1647358546168127</v>
      </c>
      <c r="F26" s="71" t="n">
        <v>0.1719812125220667</v>
      </c>
      <c r="G26" s="71" t="n">
        <v>-0.1647358546170901</v>
      </c>
      <c r="H26" s="71" t="n">
        <v>0</v>
      </c>
    </row>
    <row r="27">
      <c r="B27" s="10" t="inlineStr">
        <is>
          <t>Asset finance — penetration</t>
        </is>
      </c>
      <c r="C27" s="63" t="n">
        <v>0.08</v>
      </c>
      <c r="D27" s="14" t="inlineStr">
        <is>
          <t>%</t>
        </is>
      </c>
      <c r="E27" s="71" t="n">
        <v>0.1587153370028682</v>
      </c>
      <c r="F27" s="71" t="n">
        <v>-0.08526828474335443</v>
      </c>
      <c r="G27" s="71" t="n">
        <v>0.001813946205839392</v>
      </c>
      <c r="H27" s="71" t="n">
        <v>0.09282154504571802</v>
      </c>
    </row>
    <row r="28">
      <c r="B28" s="10" t="inlineStr">
        <is>
          <t>Head office: finance, HR, exec, brand &amp; residual (non-acquisition) marketing</t>
        </is>
      </c>
      <c r="C28" s="63" t="n">
        <v>222</v>
      </c>
      <c r="D28" s="14" t="inlineStr">
        <is>
          <t>£/customer/yr</t>
        </is>
      </c>
      <c r="E28" s="71" t="n">
        <v>-0.1462854388997297</v>
      </c>
      <c r="F28" s="71" t="n">
        <v>0.1527193167196385</v>
      </c>
      <c r="G28" s="71" t="n">
        <v>-0.1462854388999867</v>
      </c>
      <c r="H28" s="71" t="n">
        <v>0</v>
      </c>
    </row>
    <row r="29">
      <c r="B29" s="10" t="inlineStr">
        <is>
          <t>Equity held against RWAs (CET1 target)</t>
        </is>
      </c>
      <c r="C29" s="63" t="n">
        <v>0.14</v>
      </c>
      <c r="D29" s="14" t="inlineStr">
        <is>
          <t>% of RWA</t>
        </is>
      </c>
      <c r="E29" s="71" t="n">
        <v>0.1238711722148994</v>
      </c>
      <c r="F29" s="71" t="n">
        <v>-0.05909531843834973</v>
      </c>
      <c r="G29" s="71" t="n">
        <v>-0.8674542849359645</v>
      </c>
      <c r="H29" s="71" t="n">
        <v>0.05913026165485447</v>
      </c>
    </row>
    <row r="30">
      <c r="B30" s="10" t="inlineStr">
        <is>
          <t>Business credit card — penetration</t>
        </is>
      </c>
      <c r="C30" s="63" t="n">
        <v>0.3</v>
      </c>
      <c r="D30" s="14" t="inlineStr">
        <is>
          <t>%</t>
        </is>
      </c>
      <c r="E30" s="71" t="n">
        <v>0.115162001627308</v>
      </c>
      <c r="F30" s="71" t="n">
        <v>-0.05450341134971946</v>
      </c>
      <c r="G30" s="71" t="n">
        <v>0.1025383467743691</v>
      </c>
      <c r="H30" s="71" t="n">
        <v>0.05762391571351869</v>
      </c>
    </row>
    <row r="31">
      <c r="B31" s="10" t="inlineStr">
        <is>
          <t>Overdraft — interest rate (EAR)</t>
        </is>
      </c>
      <c r="C31" s="63" t="n">
        <v>0.0975</v>
      </c>
      <c r="D31" s="14" t="inlineStr">
        <is>
          <t>% p.a.</t>
        </is>
      </c>
      <c r="E31" s="71" t="n">
        <v>0.1094840120404391</v>
      </c>
      <c r="F31" s="71" t="n">
        <v>-0.05223520978052387</v>
      </c>
      <c r="G31" s="71" t="n">
        <v>0.1008596961142311</v>
      </c>
      <c r="H31" s="71" t="n">
        <v>0.05226250921193411</v>
      </c>
    </row>
    <row r="32">
      <c r="B32" s="10" t="inlineStr">
        <is>
          <t>Card — average monthly spend</t>
        </is>
      </c>
      <c r="C32" s="63" t="n">
        <v>2500</v>
      </c>
      <c r="D32" s="14" t="inlineStr">
        <is>
          <t>£/card/month</t>
        </is>
      </c>
      <c r="E32" s="71" t="n">
        <v>0.1018107735896629</v>
      </c>
      <c r="F32" s="71" t="n">
        <v>-0.04857605888322602</v>
      </c>
      <c r="G32" s="71" t="n">
        <v>0.09379146319211618</v>
      </c>
      <c r="H32" s="71" t="n">
        <v>0.04859966668594098</v>
      </c>
    </row>
    <row r="33">
      <c r="B33" s="10" t="inlineStr">
        <is>
          <t>Card — commercial interchange earned</t>
        </is>
      </c>
      <c r="C33" s="63" t="n">
        <v>0.017</v>
      </c>
      <c r="D33" s="14" t="inlineStr">
        <is>
          <t>% of spend</t>
        </is>
      </c>
      <c r="E33" s="71" t="n">
        <v>0.1018107735896629</v>
      </c>
      <c r="F33" s="71" t="n">
        <v>-0.04857605888322602</v>
      </c>
      <c r="G33" s="71" t="n">
        <v>0.09379146319211618</v>
      </c>
      <c r="H33" s="71" t="n">
        <v>0.04859966668594098</v>
      </c>
    </row>
    <row r="34">
      <c r="B34" s="10" t="inlineStr">
        <is>
          <t>Term funding premium over Bank Rate</t>
        </is>
      </c>
      <c r="C34" s="63" t="n">
        <v>0.006</v>
      </c>
      <c r="D34" s="14" t="inlineStr">
        <is>
          <t>% p.a.</t>
        </is>
      </c>
      <c r="E34" s="71" t="n">
        <v>-0.1004133708148834</v>
      </c>
      <c r="F34" s="71" t="n">
        <v>0.04795559880866109</v>
      </c>
      <c r="G34" s="71" t="n">
        <v>-0.09251885130815904</v>
      </c>
      <c r="H34" s="71" t="n">
        <v>-0.04793261243730116</v>
      </c>
    </row>
    <row r="35">
      <c r="B35" s="10" t="inlineStr">
        <is>
          <t>Behavioural term credit for stable non-maturing deposits</t>
        </is>
      </c>
      <c r="C35" s="63" t="n">
        <v>0.005</v>
      </c>
      <c r="D35" s="14" t="inlineStr">
        <is>
          <t>% p.a.</t>
        </is>
      </c>
      <c r="E35" s="71" t="n">
        <v>0.09981448391141816</v>
      </c>
      <c r="F35" s="71" t="n">
        <v>-0.04762404074601882</v>
      </c>
      <c r="G35" s="71" t="n">
        <v>0.09195255933441075</v>
      </c>
      <c r="H35" s="71" t="n">
        <v>0.04764673204503252</v>
      </c>
    </row>
    <row r="36">
      <c r="B36" s="10" t="inlineStr">
        <is>
          <t>FX — average annual conversion volume</t>
        </is>
      </c>
      <c r="C36" s="63" t="n">
        <v>100000</v>
      </c>
      <c r="D36" s="14" t="inlineStr">
        <is>
          <t>£/user/yr</t>
        </is>
      </c>
      <c r="E36" s="71" t="n">
        <v>0.09981448391141816</v>
      </c>
      <c r="F36" s="71" t="n">
        <v>-0.04762404074601882</v>
      </c>
      <c r="G36" s="71" t="n">
        <v>0.09195255933441075</v>
      </c>
      <c r="H36" s="71" t="n">
        <v>0.04764673204503252</v>
      </c>
    </row>
    <row r="37">
      <c r="B37" s="10" t="inlineStr">
        <is>
          <t>FX — margin on conversion volume</t>
        </is>
      </c>
      <c r="C37" s="63" t="n">
        <v>0.0075</v>
      </c>
      <c r="D37" s="14" t="inlineStr">
        <is>
          <t>% of volume</t>
        </is>
      </c>
      <c r="E37" s="71" t="n">
        <v>0.09981448391141816</v>
      </c>
      <c r="F37" s="71" t="n">
        <v>-0.04762404074601882</v>
      </c>
      <c r="G37" s="71" t="n">
        <v>0.09195255933441075</v>
      </c>
      <c r="H37" s="71" t="n">
        <v>0.04764673204503252</v>
      </c>
    </row>
    <row r="38">
      <c r="B38" s="10" t="inlineStr">
        <is>
          <t>Overdraft — average limit</t>
        </is>
      </c>
      <c r="C38" s="63" t="n">
        <v>15000</v>
      </c>
      <c r="D38" s="14" t="inlineStr">
        <is>
          <t>£/facility</t>
        </is>
      </c>
      <c r="E38" s="71" t="n">
        <v>0.09519058528012668</v>
      </c>
      <c r="F38" s="71" t="n">
        <v>-0.05209194641982378</v>
      </c>
      <c r="G38" s="71" t="n">
        <v>0.051574506124141</v>
      </c>
      <c r="H38" s="71" t="n">
        <v>0.05211909627141639</v>
      </c>
    </row>
    <row r="39">
      <c r="B39" s="10" t="inlineStr">
        <is>
          <t>Productive hours per FTE per month</t>
        </is>
      </c>
      <c r="C39" s="63" t="n">
        <v>147</v>
      </c>
      <c r="D39" s="14" t="inlineStr">
        <is>
          <t>hours</t>
        </is>
      </c>
      <c r="E39" s="71" t="n">
        <v>0.09121190632452875</v>
      </c>
      <c r="F39" s="71" t="n">
        <v>-0.09522355823886089</v>
      </c>
      <c r="G39" s="71" t="n">
        <v>0.09121190632435788</v>
      </c>
      <c r="H39" s="71" t="n">
        <v>0</v>
      </c>
    </row>
    <row r="40">
      <c r="B40" s="10" t="inlineStr">
        <is>
          <t>Overdraft — penetration</t>
        </is>
      </c>
      <c r="C40" s="63" t="n">
        <v>0.25</v>
      </c>
      <c r="D40" s="14" t="inlineStr">
        <is>
          <t>%</t>
        </is>
      </c>
      <c r="E40" s="71" t="n">
        <v>0.08132422312990931</v>
      </c>
      <c r="F40" s="71" t="n">
        <v>-0.0376232594615131</v>
      </c>
      <c r="G40" s="71" t="n">
        <v>0.0377141861854879</v>
      </c>
      <c r="H40" s="71" t="n">
        <v>0.05211909627141639</v>
      </c>
    </row>
    <row r="41">
      <c r="B41" s="10" t="inlineStr">
        <is>
          <t>Customers per relationship manager (L)</t>
        </is>
      </c>
      <c r="C41" s="63" t="n">
        <v>120</v>
      </c>
      <c r="D41" s="14" t="inlineStr">
        <is>
          <t>customers</t>
        </is>
      </c>
      <c r="E41" s="71" t="n">
        <v>0.08107710567534358</v>
      </c>
      <c r="F41" s="71" t="n">
        <v>-0.08464301213748615</v>
      </c>
      <c r="G41" s="71" t="n">
        <v>0.08107710567522457</v>
      </c>
      <c r="H41" s="71" t="n">
        <v>0</v>
      </c>
    </row>
    <row r="42">
      <c r="B42" s="10" t="inlineStr">
        <is>
          <t>Share of customers that are relationship-managed</t>
        </is>
      </c>
      <c r="C42" s="63" t="n">
        <v>0.15</v>
      </c>
      <c r="D42" s="14" t="inlineStr">
        <is>
          <t>%</t>
        </is>
      </c>
      <c r="E42" s="71" t="n">
        <v>-0.08092587948856705</v>
      </c>
      <c r="F42" s="71" t="n">
        <v>0.08448513477060619</v>
      </c>
      <c r="G42" s="71" t="n">
        <v>-0.08092587948885854</v>
      </c>
      <c r="H42" s="71" t="n">
        <v>0</v>
      </c>
    </row>
    <row r="43">
      <c r="B43" s="10" t="inlineStr">
        <is>
          <t>BCA — net transaction &amp; cash-handling income</t>
        </is>
      </c>
      <c r="C43" s="63" t="n">
        <v>120</v>
      </c>
      <c r="D43" s="14" t="inlineStr">
        <is>
          <t>£/account/yr</t>
        </is>
      </c>
      <c r="E43" s="71" t="n">
        <v>0.07985158712913452</v>
      </c>
      <c r="F43" s="71" t="n">
        <v>-0.03810286182134639</v>
      </c>
      <c r="G43" s="71" t="n">
        <v>0.07356320301076685</v>
      </c>
      <c r="H43" s="71" t="n">
        <v>0.03811738563602602</v>
      </c>
    </row>
    <row r="44">
      <c r="B44" s="10" t="inlineStr">
        <is>
          <t>Change-the-bank / transformation spend per customer</t>
        </is>
      </c>
      <c r="C44" s="63" t="n">
        <v>120</v>
      </c>
      <c r="D44" s="14" t="inlineStr">
        <is>
          <t>£/customer/yr</t>
        </is>
      </c>
      <c r="E44" s="71" t="n">
        <v>-0.07907321021607008</v>
      </c>
      <c r="F44" s="71" t="n">
        <v>0.08255098201058327</v>
      </c>
      <c r="G44" s="71" t="n">
        <v>-0.0790732102163739</v>
      </c>
      <c r="H44" s="71" t="n">
        <v>0</v>
      </c>
    </row>
    <row r="45">
      <c r="B45" s="10" t="inlineStr">
        <is>
          <t>Term loans — probability of default</t>
        </is>
      </c>
      <c r="C45" s="63" t="n">
        <v>0.018</v>
      </c>
      <c r="D45" s="14" t="inlineStr">
        <is>
          <t>% p.a.</t>
        </is>
      </c>
      <c r="E45" s="71" t="n">
        <v>-0.07828247811390938</v>
      </c>
      <c r="F45" s="71" t="n">
        <v>0</v>
      </c>
      <c r="G45" s="71" t="n">
        <v>-0.07828247811415756</v>
      </c>
      <c r="H45" s="71" t="n">
        <v>0</v>
      </c>
    </row>
    <row r="46">
      <c r="B46" s="10" t="inlineStr">
        <is>
          <t>Term loans — loss given default</t>
        </is>
      </c>
      <c r="C46" s="63" t="n">
        <v>0.25</v>
      </c>
      <c r="D46" s="14" t="inlineStr">
        <is>
          <t>%</t>
        </is>
      </c>
      <c r="E46" s="71" t="n">
        <v>-0.07828247811390938</v>
      </c>
      <c r="F46" s="71" t="n">
        <v>0</v>
      </c>
      <c r="G46" s="71" t="n">
        <v>-0.07828247811415756</v>
      </c>
      <c r="H46" s="71" t="n">
        <v>0</v>
      </c>
    </row>
    <row r="47">
      <c r="B47" s="10" t="inlineStr">
        <is>
          <t>Term loans — arrangement fee</t>
        </is>
      </c>
      <c r="C47" s="63" t="n">
        <v>0.015</v>
      </c>
      <c r="D47" s="14" t="inlineStr">
        <is>
          <t>% of loan</t>
        </is>
      </c>
      <c r="E47" s="71" t="n">
        <v>0.07486086293356362</v>
      </c>
      <c r="F47" s="71" t="n">
        <v>-0.03572228365829964</v>
      </c>
      <c r="G47" s="71" t="n">
        <v>0.0689657736584007</v>
      </c>
      <c r="H47" s="71" t="n">
        <v>0.03573504903377439</v>
      </c>
    </row>
    <row r="48">
      <c r="B48" s="10" t="inlineStr">
        <is>
          <t>Invoice finance — discount margin over base</t>
        </is>
      </c>
      <c r="C48" s="63" t="n">
        <v>0.025</v>
      </c>
      <c r="D48" s="14" t="inlineStr">
        <is>
          <t>% p.a.</t>
        </is>
      </c>
      <c r="E48" s="71" t="n">
        <v>0.07486086293356362</v>
      </c>
      <c r="F48" s="71" t="n">
        <v>-0.03572228365829964</v>
      </c>
      <c r="G48" s="71" t="n">
        <v>0.0689657736584007</v>
      </c>
      <c r="H48" s="71" t="n">
        <v>0.03573504903377439</v>
      </c>
    </row>
    <row r="49">
      <c r="B49" s="10" t="inlineStr">
        <is>
          <t>Term loans — risk weight</t>
        </is>
      </c>
      <c r="C49" s="63" t="n">
        <v>0.7</v>
      </c>
      <c r="D49" s="14" t="inlineStr">
        <is>
          <t>%</t>
        </is>
      </c>
      <c r="E49" s="71" t="n">
        <v>0.07264851188601439</v>
      </c>
      <c r="F49" s="71" t="n">
        <v>-0.03466695472918382</v>
      </c>
      <c r="G49" s="71" t="n">
        <v>-0.5108399059911144</v>
      </c>
      <c r="H49" s="71" t="n">
        <v>0.03467897687449064</v>
      </c>
    </row>
    <row r="50">
      <c r="B50" s="10" t="inlineStr">
        <is>
          <t>International payments — number per user per year</t>
        </is>
      </c>
      <c r="C50" s="63" t="n">
        <v>30</v>
      </c>
      <c r="D50" s="14" t="inlineStr">
        <is>
          <t>payments</t>
        </is>
      </c>
      <c r="E50" s="71" t="n">
        <v>0.06987013873799271</v>
      </c>
      <c r="F50" s="71" t="n">
        <v>-0.03334159210622355</v>
      </c>
      <c r="G50" s="71" t="n">
        <v>0.06436830819666425</v>
      </c>
      <c r="H50" s="71" t="n">
        <v>0.03335271243152277</v>
      </c>
    </row>
    <row r="51">
      <c r="B51" s="10" t="inlineStr">
        <is>
          <t>International payment fee</t>
        </is>
      </c>
      <c r="C51" s="63" t="n">
        <v>17.5</v>
      </c>
      <c r="D51" s="14" t="inlineStr">
        <is>
          <t>£/payment</t>
        </is>
      </c>
      <c r="E51" s="71" t="n">
        <v>0.06987013873799271</v>
      </c>
      <c r="F51" s="71" t="n">
        <v>-0.03334159210622355</v>
      </c>
      <c r="G51" s="71" t="n">
        <v>0.06436830819666425</v>
      </c>
      <c r="H51" s="71" t="n">
        <v>0.03335271243152277</v>
      </c>
    </row>
    <row r="52">
      <c r="B52" s="10" t="inlineStr">
        <is>
          <t>BCA — monthly account fee</t>
        </is>
      </c>
      <c r="C52" s="63" t="n">
        <v>8.5</v>
      </c>
      <c r="D52" s="14" t="inlineStr">
        <is>
          <t>£/month</t>
        </is>
      </c>
      <c r="E52" s="71" t="n">
        <v>0.06787384905976844</v>
      </c>
      <c r="F52" s="71" t="n">
        <v>-0.03238928373466862</v>
      </c>
      <c r="G52" s="71" t="n">
        <v>0.06252931190123294</v>
      </c>
      <c r="H52" s="71" t="n">
        <v>0.03239977779061431</v>
      </c>
    </row>
    <row r="53">
      <c r="B53" s="10" t="inlineStr">
        <is>
          <t>Relationship manager — salary</t>
        </is>
      </c>
      <c r="C53" s="63" t="n">
        <v>65000</v>
      </c>
      <c r="D53" s="14" t="inlineStr">
        <is>
          <t>£/yr</t>
        </is>
      </c>
      <c r="E53" s="71" t="n">
        <v>-0.06464852694618542</v>
      </c>
      <c r="F53" s="71" t="n">
        <v>0.06749187708921207</v>
      </c>
      <c r="G53" s="71" t="n">
        <v>-0.06464852694648321</v>
      </c>
      <c r="H53" s="71" t="n">
        <v>0</v>
      </c>
    </row>
    <row r="54">
      <c r="B54" s="10" t="inlineStr">
        <is>
          <t>Instant-access savings — average balance</t>
        </is>
      </c>
      <c r="C54" s="63" t="n">
        <v>30000</v>
      </c>
      <c r="D54" s="14" t="inlineStr">
        <is>
          <t>£/account</t>
        </is>
      </c>
      <c r="E54" s="71" t="n">
        <v>0.06103463413552909</v>
      </c>
      <c r="F54" s="71" t="n">
        <v>-0.02751368315916409</v>
      </c>
      <c r="G54" s="71" t="n">
        <v>0.05600480950303754</v>
      </c>
      <c r="H54" s="71" t="n">
        <v>0.03049390850881691</v>
      </c>
    </row>
    <row r="55">
      <c r="B55" s="10" t="inlineStr">
        <is>
          <t>Term loans — average life</t>
        </is>
      </c>
      <c r="C55" s="63" t="n">
        <v>4</v>
      </c>
      <c r="D55" s="14" t="inlineStr">
        <is>
          <t>years</t>
        </is>
      </c>
      <c r="E55" s="71" t="n">
        <v>-0.0605521133221927</v>
      </c>
      <c r="F55" s="71" t="n">
        <v>0.02122446956929888</v>
      </c>
      <c r="G55" s="71" t="n">
        <v>-0.05472260563925134</v>
      </c>
      <c r="H55" s="71" t="n">
        <v>-0.03538123666704555</v>
      </c>
    </row>
    <row r="56">
      <c r="B56" s="10" t="inlineStr">
        <is>
          <t>BCA — credit interest paid</t>
        </is>
      </c>
      <c r="C56" s="63" t="n">
        <v>0.005</v>
      </c>
      <c r="D56" s="14" t="inlineStr">
        <is>
          <t>% p.a.</t>
        </is>
      </c>
      <c r="E56" s="71" t="n">
        <v>-0.0598886903468509</v>
      </c>
      <c r="F56" s="71" t="n">
        <v>0.02859621432394117</v>
      </c>
      <c r="G56" s="71" t="n">
        <v>-0.05517846962304982</v>
      </c>
      <c r="H56" s="71" t="n">
        <v>-0.02858803922701951</v>
      </c>
    </row>
    <row r="57">
      <c r="B57" s="10" t="inlineStr">
        <is>
          <t>Instant-access savings — penetration</t>
        </is>
      </c>
      <c r="C57" s="63" t="n">
        <v>0.4</v>
      </c>
      <c r="D57" s="14" t="inlineStr">
        <is>
          <t>%</t>
        </is>
      </c>
      <c r="E57" s="71" t="n">
        <v>0.0592544503026677</v>
      </c>
      <c r="F57" s="71" t="n">
        <v>-0.02565577041929928</v>
      </c>
      <c r="G57" s="71" t="n">
        <v>0.05422471515567431</v>
      </c>
      <c r="H57" s="71" t="n">
        <v>0.03049390850881691</v>
      </c>
    </row>
    <row r="58">
      <c r="B58" s="10" t="inlineStr">
        <is>
          <t>Overdraft — average utilisation</t>
        </is>
      </c>
      <c r="C58" s="63" t="n">
        <v>0.45</v>
      </c>
      <c r="D58" s="14" t="inlineStr">
        <is>
          <t>% of limit</t>
        </is>
      </c>
      <c r="E58" s="71" t="n">
        <v>0.05776015381344716</v>
      </c>
      <c r="F58" s="71" t="n">
        <v>-0.03423984406982809</v>
      </c>
      <c r="G58" s="71" t="n">
        <v>0.01710511817772802</v>
      </c>
      <c r="H58" s="71" t="n">
        <v>0.03425157175458779</v>
      </c>
    </row>
    <row r="59">
      <c r="B59" s="10" t="inlineStr">
        <is>
          <t>Credit analyst / underwriter — salary</t>
        </is>
      </c>
      <c r="C59" s="63" t="n">
        <v>55000</v>
      </c>
      <c r="D59" s="14" t="inlineStr">
        <is>
          <t>£/yr</t>
        </is>
      </c>
      <c r="E59" s="71" t="n">
        <v>-0.05171141124509487</v>
      </c>
      <c r="F59" s="71" t="n">
        <v>0.05398576544161963</v>
      </c>
      <c r="G59" s="71" t="n">
        <v>-0.05171141124499209</v>
      </c>
      <c r="H59" s="71" t="n">
        <v>0</v>
      </c>
    </row>
    <row r="60">
      <c r="B60" s="10" t="inlineStr">
        <is>
          <t>Liquidity buffer held against deposits (LCR / HQLA)</t>
        </is>
      </c>
      <c r="C60" s="63" t="n">
        <v>0.15</v>
      </c>
      <c r="D60" s="14" t="inlineStr">
        <is>
          <t>% of deposits</t>
        </is>
      </c>
      <c r="E60" s="71" t="n">
        <v>-0.04117347461329634</v>
      </c>
      <c r="F60" s="71" t="n">
        <v>0.01965814063393465</v>
      </c>
      <c r="G60" s="71" t="n">
        <v>-0.03793463915464931</v>
      </c>
      <c r="H60" s="71" t="n">
        <v>-0.01965427696859545</v>
      </c>
    </row>
    <row r="61">
      <c r="B61" s="10" t="inlineStr">
        <is>
          <t>Yield give-up on the liquidity buffer vs Bank Rate</t>
        </is>
      </c>
      <c r="C61" s="63" t="n">
        <v>0.01</v>
      </c>
      <c r="D61" s="14" t="inlineStr">
        <is>
          <t>% p.a.</t>
        </is>
      </c>
      <c r="E61" s="71" t="n">
        <v>-0.04117347461329634</v>
      </c>
      <c r="F61" s="71" t="n">
        <v>0.01965814063393465</v>
      </c>
      <c r="G61" s="71" t="n">
        <v>-0.03793463915464931</v>
      </c>
      <c r="H61" s="71" t="n">
        <v>-0.01965427696859545</v>
      </c>
    </row>
    <row r="62">
      <c r="B62" s="10" t="inlineStr">
        <is>
          <t>Unit-level platform &amp; processing cost</t>
        </is>
      </c>
      <c r="C62" s="63" t="n">
        <v>60</v>
      </c>
      <c r="D62" s="14" t="inlineStr">
        <is>
          <t>£/customer/yr</t>
        </is>
      </c>
      <c r="E62" s="71" t="n">
        <v>-0.03953660510803504</v>
      </c>
      <c r="F62" s="71" t="n">
        <v>0.0412754910054009</v>
      </c>
      <c r="G62" s="71" t="n">
        <v>-0.03953660510795137</v>
      </c>
      <c r="H62" s="71" t="n">
        <v>0</v>
      </c>
    </row>
    <row r="63">
      <c r="B63" s="10" t="inlineStr">
        <is>
          <t>Overdraft — annual arrangement/renewal fee</t>
        </is>
      </c>
      <c r="C63" s="63" t="n">
        <v>0.015</v>
      </c>
      <c r="D63" s="14" t="inlineStr">
        <is>
          <t>% of limit</t>
        </is>
      </c>
      <c r="E63" s="71" t="n">
        <v>0.03743043146690454</v>
      </c>
      <c r="F63" s="71" t="n">
        <v>-0.01786433260297001</v>
      </c>
      <c r="G63" s="71" t="n">
        <v>0.03448390249733824</v>
      </c>
      <c r="H63" s="71" t="n">
        <v>0.01786752451694579</v>
      </c>
    </row>
    <row r="64">
      <c r="B64" s="10" t="inlineStr">
        <is>
          <t>Fraud &amp; payment losses (incl. APP reimbursement) per current account</t>
        </is>
      </c>
      <c r="C64" s="63" t="n">
        <v>45</v>
      </c>
      <c r="D64" s="14" t="inlineStr">
        <is>
          <t>£/BCA/yr</t>
        </is>
      </c>
      <c r="E64" s="71" t="n">
        <v>-0.02965245383102628</v>
      </c>
      <c r="F64" s="71" t="n">
        <v>0.03095661825405067</v>
      </c>
      <c r="G64" s="71" t="n">
        <v>-0.02965245383120229</v>
      </c>
      <c r="H64" s="71" t="n">
        <v>0</v>
      </c>
    </row>
    <row r="65">
      <c r="B65" s="10" t="inlineStr">
        <is>
          <t>Asset finance — probability of default</t>
        </is>
      </c>
      <c r="C65" s="63" t="n">
        <v>0.022</v>
      </c>
      <c r="D65" s="14" t="inlineStr">
        <is>
          <t>% p.a.</t>
        </is>
      </c>
      <c r="E65" s="71" t="n">
        <v>-0.02857600386260983</v>
      </c>
      <c r="F65" s="71" t="n">
        <v>0</v>
      </c>
      <c r="G65" s="71" t="n">
        <v>-0.02857600386254362</v>
      </c>
      <c r="H65" s="71" t="n">
        <v>0</v>
      </c>
    </row>
    <row r="66">
      <c r="B66" s="10" t="inlineStr">
        <is>
          <t>Asset finance — loss given default</t>
        </is>
      </c>
      <c r="C66" s="63" t="n">
        <v>0.35</v>
      </c>
      <c r="D66" s="14" t="inlineStr">
        <is>
          <t>%</t>
        </is>
      </c>
      <c r="E66" s="71" t="n">
        <v>-0.02857600386260983</v>
      </c>
      <c r="F66" s="71" t="n">
        <v>0</v>
      </c>
      <c r="G66" s="71" t="n">
        <v>-0.02857600386254362</v>
      </c>
      <c r="H66" s="71" t="n">
        <v>0</v>
      </c>
    </row>
    <row r="67">
      <c r="B67" s="10" t="inlineStr">
        <is>
          <t>Management span (staff per manager)</t>
        </is>
      </c>
      <c r="C67" s="63" t="n">
        <v>8</v>
      </c>
      <c r="D67" s="14" t="inlineStr">
        <is>
          <t>staff</t>
        </is>
      </c>
      <c r="E67" s="71" t="n">
        <v>0.02728475739292511</v>
      </c>
      <c r="F67" s="71" t="n">
        <v>-0.0284847865736678</v>
      </c>
      <c r="G67" s="71" t="n">
        <v>0.02728475739261982</v>
      </c>
      <c r="H67" s="71" t="n">
        <v>0</v>
      </c>
    </row>
    <row r="68">
      <c r="B68" s="10" t="inlineStr">
        <is>
          <t>Team manager — salary</t>
        </is>
      </c>
      <c r="C68" s="63" t="n">
        <v>85000</v>
      </c>
      <c r="D68" s="14" t="inlineStr">
        <is>
          <t>£/yr</t>
        </is>
      </c>
      <c r="E68" s="71" t="n">
        <v>-0.0257511658564655</v>
      </c>
      <c r="F68" s="71" t="n">
        <v>0.02688374512136233</v>
      </c>
      <c r="G68" s="71" t="n">
        <v>-0.02575116585676012</v>
      </c>
      <c r="H68" s="71" t="n">
        <v>0</v>
      </c>
    </row>
    <row r="69">
      <c r="B69" s="10" t="inlineStr">
        <is>
          <t>Annual customer churn (replaced at steady state)</t>
        </is>
      </c>
      <c r="C69" s="63" t="n">
        <v>0.12</v>
      </c>
      <c r="D69" s="14" t="inlineStr">
        <is>
          <t>% p.a.</t>
        </is>
      </c>
      <c r="E69" s="71" t="n">
        <v>-0.02469126258220576</v>
      </c>
      <c r="F69" s="71" t="n">
        <v>0.02577722553153486</v>
      </c>
      <c r="G69" s="71" t="n">
        <v>-0.02469126258230462</v>
      </c>
      <c r="H69" s="71" t="n">
        <v>0</v>
      </c>
    </row>
    <row r="70">
      <c r="B70" s="10" t="inlineStr">
        <is>
          <t>Employment on-costs (NI, pension, benefits)</t>
        </is>
      </c>
      <c r="C70" s="63" t="n">
        <v>0.15</v>
      </c>
      <c r="D70" s="14" t="inlineStr">
        <is>
          <t>% of salary</t>
        </is>
      </c>
      <c r="E70" s="71" t="n">
        <v>-0.02057660219051082</v>
      </c>
      <c r="F70" s="71" t="n">
        <v>0.02148159550679803</v>
      </c>
      <c r="G70" s="71" t="n">
        <v>-0.02057660219063057</v>
      </c>
      <c r="H70" s="71" t="n">
        <v>0</v>
      </c>
    </row>
    <row r="71">
      <c r="B71" s="10" t="inlineStr">
        <is>
          <t>Operational-risk RWA multiple of gross income</t>
        </is>
      </c>
      <c r="C71" s="63" t="n">
        <v>1.875</v>
      </c>
      <c r="D71" s="14" t="inlineStr">
        <is>
          <t>x revenue</t>
        </is>
      </c>
      <c r="E71" s="71" t="n">
        <v>0.01940217969118421</v>
      </c>
      <c r="F71" s="71" t="n">
        <v>-0.009260828777932256</v>
      </c>
      <c r="G71" s="71" t="n">
        <v>-0.1370151321223097</v>
      </c>
      <c r="H71" s="71" t="n">
        <v>0.009261686486871161</v>
      </c>
    </row>
    <row r="72">
      <c r="B72" s="10" t="inlineStr">
        <is>
          <t>Share of lending balances held by RM-managed customers</t>
        </is>
      </c>
      <c r="C72" s="63" t="n">
        <v>0.6</v>
      </c>
      <c r="D72" s="14" t="inlineStr">
        <is>
          <t>%</t>
        </is>
      </c>
      <c r="E72" s="71" t="n">
        <v>0.01833005970171241</v>
      </c>
      <c r="F72" s="71" t="n">
        <v>0</v>
      </c>
      <c r="G72" s="71" t="n">
        <v>0.0183300597013768</v>
      </c>
      <c r="H72" s="71" t="n">
        <v>0</v>
      </c>
    </row>
    <row r="73">
      <c r="B73" s="10" t="inlineStr">
        <is>
          <t>Stewardship effect: relative PD reduction on RM-covered balances</t>
        </is>
      </c>
      <c r="C73" s="63" t="n">
        <v>0.2</v>
      </c>
      <c r="D73" s="14" t="inlineStr">
        <is>
          <t>%</t>
        </is>
      </c>
      <c r="E73" s="71" t="n">
        <v>0.01833005970171241</v>
      </c>
      <c r="F73" s="71" t="n">
        <v>0</v>
      </c>
      <c r="G73" s="71" t="n">
        <v>0.0183300597013768</v>
      </c>
      <c r="H73" s="71" t="n">
        <v>0</v>
      </c>
    </row>
    <row r="74">
      <c r="B74" s="10" t="inlineStr">
        <is>
          <t>Churn replacement — acquisition marketing per new customer won</t>
        </is>
      </c>
      <c r="C74" s="63" t="n">
        <v>240</v>
      </c>
      <c r="D74" s="14" t="inlineStr">
        <is>
          <t>£/new customer</t>
        </is>
      </c>
      <c r="E74" s="71" t="n">
        <v>-0.01826591155990401</v>
      </c>
      <c r="F74" s="71" t="n">
        <v>0.01906927684454543</v>
      </c>
      <c r="G74" s="71" t="n">
        <v>-0.01826591156004862</v>
      </c>
      <c r="H74" s="71" t="n">
        <v>0</v>
      </c>
    </row>
    <row r="75">
      <c r="B75" s="10" t="inlineStr">
        <is>
          <t>Asset finance — risk weight</t>
        </is>
      </c>
      <c r="C75" s="63" t="n">
        <v>0.8</v>
      </c>
      <c r="D75" s="14" t="inlineStr">
        <is>
          <t>%</t>
        </is>
      </c>
      <c r="E75" s="71" t="n">
        <v>0.01771239908840788</v>
      </c>
      <c r="F75" s="71" t="n">
        <v>-0.008454350017280498</v>
      </c>
      <c r="G75" s="71" t="n">
        <v>-0.125099206722287</v>
      </c>
      <c r="H75" s="71" t="n">
        <v>0.008455064837974957</v>
      </c>
    </row>
    <row r="76">
      <c r="B76" s="10" t="inlineStr">
        <is>
          <t>Card — interest rate on revolving balances</t>
        </is>
      </c>
      <c r="C76" s="63" t="n">
        <v>0.159</v>
      </c>
      <c r="D76" s="14" t="inlineStr">
        <is>
          <t>% p.a.</t>
        </is>
      </c>
      <c r="E76" s="71" t="n">
        <v>0.01587050294203331</v>
      </c>
      <c r="F76" s="71" t="n">
        <v>-0.007575256506550518</v>
      </c>
      <c r="G76" s="71" t="n">
        <v>0.01462142272077909</v>
      </c>
      <c r="H76" s="71" t="n">
        <v>0.007575830395216416</v>
      </c>
    </row>
    <row r="77">
      <c r="B77" s="10" t="inlineStr">
        <is>
          <t>Service &amp; operations staff — salary</t>
        </is>
      </c>
      <c r="C77" s="63" t="n">
        <v>32000</v>
      </c>
      <c r="D77" s="14" t="inlineStr">
        <is>
          <t>£/yr</t>
        </is>
      </c>
      <c r="E77" s="71" t="n">
        <v>-0.01564284608034933</v>
      </c>
      <c r="F77" s="71" t="n">
        <v>0.01633084456626305</v>
      </c>
      <c r="G77" s="71" t="n">
        <v>-0.01564284608081514</v>
      </c>
      <c r="H77" s="71" t="n">
        <v>0</v>
      </c>
    </row>
    <row r="78">
      <c r="B78" s="10" t="inlineStr">
        <is>
          <t>Overdraft — probability of default</t>
        </is>
      </c>
      <c r="C78" s="63" t="n">
        <v>0.026</v>
      </c>
      <c r="D78" s="14" t="inlineStr">
        <is>
          <t>% p.a.</t>
        </is>
      </c>
      <c r="E78" s="71" t="n">
        <v>-0.01399299296284985</v>
      </c>
      <c r="F78" s="71" t="n">
        <v>0</v>
      </c>
      <c r="G78" s="71" t="n">
        <v>-0.01399299296281295</v>
      </c>
      <c r="H78" s="71" t="n">
        <v>0</v>
      </c>
    </row>
    <row r="79">
      <c r="B79" s="10" t="inlineStr">
        <is>
          <t>Overdraft — loss given default</t>
        </is>
      </c>
      <c r="C79" s="63" t="n">
        <v>0.55</v>
      </c>
      <c r="D79" s="14" t="inlineStr">
        <is>
          <t>%</t>
        </is>
      </c>
      <c r="E79" s="71" t="n">
        <v>-0.01399299296284985</v>
      </c>
      <c r="F79" s="71" t="n">
        <v>0</v>
      </c>
      <c r="G79" s="71" t="n">
        <v>-0.01399299296281295</v>
      </c>
      <c r="H79" s="71" t="n">
        <v>0</v>
      </c>
    </row>
    <row r="80">
      <c r="B80" s="10" t="inlineStr">
        <is>
          <t>Term loan underwriting &amp; completion</t>
        </is>
      </c>
      <c r="C80" s="63" t="n">
        <v>14</v>
      </c>
      <c r="D80" s="14" t="inlineStr">
        <is>
          <t>hrs/new loan</t>
        </is>
      </c>
      <c r="E80" s="71" t="n">
        <v>-0.01370322847785298</v>
      </c>
      <c r="F80" s="71" t="n">
        <v>0.01430591934339043</v>
      </c>
      <c r="G80" s="71" t="n">
        <v>-0.0137032284779602</v>
      </c>
      <c r="H80" s="71" t="n">
        <v>0</v>
      </c>
    </row>
    <row r="81">
      <c r="B81" s="10" t="inlineStr">
        <is>
          <t>Invoice finance — probability of default</t>
        </is>
      </c>
      <c r="C81" s="63" t="n">
        <v>0.026</v>
      </c>
      <c r="D81" s="14" t="inlineStr">
        <is>
          <t>% p.a.</t>
        </is>
      </c>
      <c r="E81" s="71" t="n">
        <v>-0.01356896287307272</v>
      </c>
      <c r="F81" s="71" t="n">
        <v>0</v>
      </c>
      <c r="G81" s="71" t="n">
        <v>-0.01356896287333288</v>
      </c>
      <c r="H81" s="71" t="n">
        <v>0</v>
      </c>
    </row>
    <row r="82">
      <c r="B82" s="10" t="inlineStr">
        <is>
          <t>Invoice finance — loss given default</t>
        </is>
      </c>
      <c r="C82" s="63" t="n">
        <v>0.2</v>
      </c>
      <c r="D82" s="14" t="inlineStr">
        <is>
          <t>%</t>
        </is>
      </c>
      <c r="E82" s="71" t="n">
        <v>-0.01356896287307272</v>
      </c>
      <c r="F82" s="71" t="n">
        <v>0</v>
      </c>
      <c r="G82" s="71" t="n">
        <v>-0.01356896287333288</v>
      </c>
      <c r="H82" s="71" t="n">
        <v>0</v>
      </c>
    </row>
    <row r="83">
      <c r="B83" s="10" t="inlineStr">
        <is>
          <t>Premises &amp; facilities per unit FTE</t>
        </is>
      </c>
      <c r="C83" s="63" t="n">
        <v>6000</v>
      </c>
      <c r="D83" s="14" t="inlineStr">
        <is>
          <t>£/FTE/yr</t>
        </is>
      </c>
      <c r="E83" s="71" t="n">
        <v>-0.01354829332592148</v>
      </c>
      <c r="F83" s="71" t="n">
        <v>0.01414416988493427</v>
      </c>
      <c r="G83" s="71" t="n">
        <v>-0.01354829332627234</v>
      </c>
      <c r="H83" s="71" t="n">
        <v>0</v>
      </c>
    </row>
    <row r="84">
      <c r="B84" s="10" t="inlineStr">
        <is>
          <t>BCA servicing (queries, payments support)</t>
        </is>
      </c>
      <c r="C84" s="63" t="n">
        <v>0.6</v>
      </c>
      <c r="D84" s="14" t="inlineStr">
        <is>
          <t>hrs/account/yr</t>
        </is>
      </c>
      <c r="E84" s="71" t="n">
        <v>-0.01335137874766737</v>
      </c>
      <c r="F84" s="71" t="n">
        <v>0.01393859467455354</v>
      </c>
      <c r="G84" s="71" t="n">
        <v>-0.01335137874769045</v>
      </c>
      <c r="H84" s="71" t="n">
        <v>0</v>
      </c>
    </row>
    <row r="85">
      <c r="B85" s="10" t="inlineStr">
        <is>
          <t>Overdraft annual review &amp; renewal</t>
        </is>
      </c>
      <c r="C85" s="63" t="n">
        <v>1.5</v>
      </c>
      <c r="D85" s="14" t="inlineStr">
        <is>
          <t>hrs/facility/yr</t>
        </is>
      </c>
      <c r="E85" s="71" t="n">
        <v>-0.01223502542667563</v>
      </c>
      <c r="F85" s="71" t="n">
        <v>0.01277314227084876</v>
      </c>
      <c r="G85" s="71" t="n">
        <v>-0.01223502542703396</v>
      </c>
      <c r="H85" s="71" t="n">
        <v>0</v>
      </c>
    </row>
    <row r="86">
      <c r="B86" s="10" t="inlineStr">
        <is>
          <t>Term loan annual review</t>
        </is>
      </c>
      <c r="C86" s="63" t="n">
        <v>3</v>
      </c>
      <c r="D86" s="14" t="inlineStr">
        <is>
          <t>hrs/loan/yr</t>
        </is>
      </c>
      <c r="E86" s="71" t="n">
        <v>-0.01174562440962334</v>
      </c>
      <c r="F86" s="71" t="n">
        <v>0.01226221658007843</v>
      </c>
      <c r="G86" s="71" t="n">
        <v>-0.01174562440975294</v>
      </c>
      <c r="H86" s="71" t="n">
        <v>0</v>
      </c>
    </row>
    <row r="87">
      <c r="B87" s="10" t="inlineStr">
        <is>
          <t>FSCS deposit-protection levy</t>
        </is>
      </c>
      <c r="C87" s="63" t="n">
        <v>0.0005999999999999999</v>
      </c>
      <c r="D87" s="14" t="inlineStr">
        <is>
          <t>% of protected deposits</t>
        </is>
      </c>
      <c r="E87" s="71" t="n">
        <v>-0.009785309764238673</v>
      </c>
      <c r="F87" s="71" t="n">
        <v>0.01021568402375696</v>
      </c>
      <c r="G87" s="71" t="n">
        <v>-0.009785309764105748</v>
      </c>
      <c r="H87" s="71" t="n">
        <v>0</v>
      </c>
    </row>
    <row r="88">
      <c r="B88" s="10" t="inlineStr">
        <is>
          <t>Share of deposit balances that are FSCS-protected</t>
        </is>
      </c>
      <c r="C88" s="63" t="n">
        <v>0.6</v>
      </c>
      <c r="D88" s="14" t="inlineStr">
        <is>
          <t>%</t>
        </is>
      </c>
      <c r="E88" s="71" t="n">
        <v>-0.009785309764238673</v>
      </c>
      <c r="F88" s="71" t="n">
        <v>0.01021568402375696</v>
      </c>
      <c r="G88" s="71" t="n">
        <v>-0.009785309764105748</v>
      </c>
      <c r="H88" s="71" t="n">
        <v>0</v>
      </c>
    </row>
    <row r="89">
      <c r="B89" s="10" t="inlineStr">
        <is>
          <t>Invoice finance — risk weight</t>
        </is>
      </c>
      <c r="C89" s="63" t="n">
        <v>0.6</v>
      </c>
      <c r="D89" s="14" t="inlineStr">
        <is>
          <t>%</t>
        </is>
      </c>
      <c r="E89" s="71" t="n">
        <v>0.009340522956773279</v>
      </c>
      <c r="F89" s="71" t="n">
        <v>-0.00445852680457372</v>
      </c>
      <c r="G89" s="71" t="n">
        <v>-0.06601483744602295</v>
      </c>
      <c r="H89" s="71" t="n">
        <v>0.004458725598148796</v>
      </c>
    </row>
    <row r="90">
      <c r="B90" s="10" t="inlineStr">
        <is>
          <t>Overdraft — risk weight</t>
        </is>
      </c>
      <c r="C90" s="63" t="n">
        <v>0.75</v>
      </c>
      <c r="D90" s="14" t="inlineStr">
        <is>
          <t>% of drawn</t>
        </is>
      </c>
      <c r="E90" s="71" t="n">
        <v>0.004378370135987474</v>
      </c>
      <c r="F90" s="71" t="n">
        <v>-0.002089983942857775</v>
      </c>
      <c r="G90" s="71" t="n">
        <v>-0.03095684670595658</v>
      </c>
      <c r="H90" s="71" t="n">
        <v>0.002090027624132248</v>
      </c>
    </row>
    <row r="91">
      <c r="B91" s="10" t="inlineStr">
        <is>
          <t>Tax rate (corporation tax + bank surcharge)</t>
        </is>
      </c>
      <c r="C91" s="63" t="n">
        <v>0.28</v>
      </c>
      <c r="D91" s="14" t="inlineStr">
        <is>
          <t>%</t>
        </is>
      </c>
      <c r="E91" s="71" t="n">
        <v>0</v>
      </c>
      <c r="F91" s="71" t="n">
        <v>0</v>
      </c>
      <c r="G91" s="71" t="n">
        <v>-0.388888888889195</v>
      </c>
      <c r="H91"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19"/>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2"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2" t="n">
        <v>0.1446567738048832</v>
      </c>
      <c r="F7" s="5" t="inlineStr">
        <is>
          <t>The cost engine fails, and by an order of magnitude. This is the finding.</t>
        </is>
      </c>
    </row>
    <row r="8" ht="30" customHeight="1">
      <c r="B8" s="42" t="inlineStr">
        <is>
          <t>Profit before tax</t>
        </is>
      </c>
      <c r="C8" s="46" t="n">
        <v>76640314</v>
      </c>
      <c r="D8" s="46" t="n">
        <v>16091000</v>
      </c>
      <c r="E8" s="72" t="n">
        <v>4.762930458020011</v>
      </c>
      <c r="F8" s="5" t="inlineStr">
        <is>
          <t>Follows the cost failure, not an independent error.</t>
        </is>
      </c>
    </row>
    <row r="9" ht="30" customHeight="1">
      <c r="B9" s="42" t="inlineStr">
        <is>
          <t>Operating-unit FTE</t>
        </is>
      </c>
      <c r="C9" s="44" t="n">
        <v>45</v>
      </c>
      <c r="D9" s="44" t="n">
        <v>496</v>
      </c>
      <c r="E9" s="72"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2"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ht="40" customHeight="1">
      <c r="B19"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2026-08-22T14:41:18Z</dcterms:created>
  <dcterms:modified xmlns:dcterms="http://purl.org/dc/terms/" xmlns:xsi="http://www.w3.org/2001/XMLSchema-instance" xsi:type="dcterms:W3CDTF">2026-08-22T14:41:18Z</dcterms:modified>
</cp:coreProperties>
</file>