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ide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1. Customers" sheetId="3" state="visible" r:id="rId3"/>
    <sheet xmlns:r="http://schemas.openxmlformats.org/officeDocument/2006/relationships" name="2. Revenues" sheetId="4" state="visible" r:id="rId4"/>
    <sheet xmlns:r="http://schemas.openxmlformats.org/officeDocument/2006/relationships" name="3. HR &amp; Activity" sheetId="5" state="visible" r:id="rId5"/>
    <sheet xmlns:r="http://schemas.openxmlformats.org/officeDocument/2006/relationships" name="4. Running Costs" sheetId="6" state="visible" r:id="rId6"/>
    <sheet xmlns:r="http://schemas.openxmlformats.org/officeDocument/2006/relationships" name="5. Risk &amp; Capital" sheetId="7" state="visible" r:id="rId7"/>
    <sheet xmlns:r="http://schemas.openxmlformats.org/officeDocument/2006/relationships" name="6. Unit Economics" sheetId="8" state="visible" r:id="rId8"/>
    <sheet xmlns:r="http://schemas.openxmlformats.org/officeDocument/2006/relationships" name="7. P&amp;L" sheetId="9" state="visible" r:id="rId9"/>
    <sheet xmlns:r="http://schemas.openxmlformats.org/officeDocument/2006/relationships" name="8. Org Structure" sheetId="10" state="visible" r:id="rId10"/>
    <sheet xmlns:r="http://schemas.openxmlformats.org/officeDocument/2006/relationships" name="9. Flow Register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£#,##0"/>
    <numFmt numFmtId="166" formatCode="#,##0.0"/>
    <numFmt numFmtId="167" formatCode="£#,##0.00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808080"/>
      <sz val="9"/>
    </font>
    <font>
      <name val="Arial"/>
      <b val="1"/>
      <sz val="10"/>
    </font>
    <font>
      <name val="Arial"/>
      <color rgb="000000FF"/>
      <sz val="10"/>
    </font>
    <font>
      <name val="Arial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color rgb="00A0A0A0"/>
      <sz val="8"/>
    </font>
    <font>
      <name val="Arial"/>
      <b val="1"/>
      <color rgb="001F3864"/>
      <sz val="11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pivotButton="0" quotePrefix="0" xfId="0"/>
    <xf numFmtId="0" fontId="3" fillId="2" borderId="0" pivotButton="0" quotePrefix="0" xfId="0"/>
    <xf numFmtId="0" fontId="9" fillId="0" borderId="0" pivotButton="0" quotePrefix="0" xfId="0"/>
    <xf numFmtId="0" fontId="5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" fontId="4" fillId="2" borderId="0" pivotButton="0" quotePrefix="0" xfId="0"/>
    <xf numFmtId="0" fontId="6" fillId="3" borderId="0" pivotButton="0" quotePrefix="0" xfId="0"/>
    <xf numFmtId="0" fontId="5" fillId="3" borderId="0" pivotButton="0" quotePrefix="0" xfId="0"/>
    <xf numFmtId="0" fontId="3" fillId="4" borderId="0" pivotButton="0" quotePrefix="0" xfId="0"/>
    <xf numFmtId="0" fontId="5" fillId="0" borderId="0" pivotButton="0" quotePrefix="0" xfId="0"/>
    <xf numFmtId="10" fontId="4" fillId="2" borderId="0" pivotButton="0" quotePrefix="0" xfId="0"/>
    <xf numFmtId="10" fontId="2" fillId="0" borderId="0" pivotButton="0" quotePrefix="0" xfId="0"/>
    <xf numFmtId="10" fontId="3" fillId="0" borderId="0" pivotButton="0" quotePrefix="0" xfId="0"/>
    <xf numFmtId="0" fontId="2" fillId="0" borderId="0" pivotButton="0" quotePrefix="0" xfId="0"/>
    <xf numFmtId="10" fontId="4" fillId="0" borderId="0" pivotButton="0" quotePrefix="0" xfId="0"/>
    <xf numFmtId="10" fontId="5" fillId="0" borderId="0" pivotButton="0" quotePrefix="0" xfId="0"/>
    <xf numFmtId="164" fontId="4" fillId="0" borderId="0" pivotButton="0" quotePrefix="0" xfId="0"/>
    <xf numFmtId="164" fontId="2" fillId="0" borderId="0" pivotButton="0" quotePrefix="0" xfId="0"/>
    <xf numFmtId="164" fontId="3" fillId="0" borderId="0" pivotButton="0" quotePrefix="0" xfId="0"/>
    <xf numFmtId="3" fontId="4" fillId="0" borderId="0" pivotButton="0" quotePrefix="0" xfId="0"/>
    <xf numFmtId="3" fontId="2" fillId="0" borderId="0" pivotButton="0" quotePrefix="0" xfId="0"/>
    <xf numFmtId="3" fontId="3" fillId="0" borderId="0" pivotButton="0" quotePrefix="0" xfId="0"/>
    <xf numFmtId="164" fontId="4" fillId="2" borderId="0" pivotButton="0" quotePrefix="0" xfId="0"/>
    <xf numFmtId="3" fontId="4" fillId="2" borderId="0" pivotButton="0" quotePrefix="0" xfId="0"/>
    <xf numFmtId="165" fontId="4" fillId="2" borderId="0" pivotButton="0" quotePrefix="0" xfId="0"/>
    <xf numFmtId="165" fontId="3" fillId="0" borderId="0" pivotButton="0" quotePrefix="0" xfId="0"/>
    <xf numFmtId="165" fontId="4" fillId="0" borderId="0" pivotButton="0" quotePrefix="0" xfId="0"/>
    <xf numFmtId="165" fontId="2" fillId="0" borderId="0" pivotButton="0" quotePrefix="0" xfId="0"/>
    <xf numFmtId="166" fontId="4" fillId="0" borderId="0" pivotButton="0" quotePrefix="0" xfId="0"/>
    <xf numFmtId="166" fontId="2" fillId="0" borderId="0" pivotButton="0" quotePrefix="0" xfId="0"/>
    <xf numFmtId="166" fontId="3" fillId="0" borderId="0" pivotButton="0" quotePrefix="0" xfId="0"/>
    <xf numFmtId="167" fontId="4" fillId="0" borderId="0" pivotButton="0" quotePrefix="0" xfId="0"/>
    <xf numFmtId="167" fontId="2" fillId="0" borderId="0" pivotButton="0" quotePrefix="0" xfId="0"/>
    <xf numFmtId="167" fontId="3" fillId="0" borderId="0" pivotButton="0" quotePrefix="0" xfId="0"/>
    <xf numFmtId="4" fontId="4" fillId="0" borderId="0" pivotButton="0" quotePrefix="0" xfId="0"/>
    <xf numFmtId="4" fontId="2" fillId="0" borderId="0" pivotButton="0" quotePrefix="0" xfId="0"/>
    <xf numFmtId="4" fontId="3" fillId="0" borderId="0" pivotButton="0" quotePrefix="0" xfId="0"/>
    <xf numFmtId="166" fontId="4" fillId="2" borderId="0" pivotButton="0" quotePrefix="0" xfId="0"/>
    <xf numFmtId="4" fontId="4" fillId="2" borderId="0" pivotButton="0" quotePrefix="0" xfId="0"/>
    <xf numFmtId="0" fontId="3" fillId="0" borderId="0" pivotButton="0" quotePrefix="0" xfId="0"/>
    <xf numFmtId="3" fontId="3" fillId="5" borderId="0" pivotButton="0" quotePrefix="0" xfId="0"/>
    <xf numFmtId="3" fontId="5" fillId="0" borderId="0" pivotButton="0" quotePrefix="0" xfId="0"/>
    <xf numFmtId="0" fontId="3" fillId="4" borderId="0" applyAlignment="1" pivotButton="0" quotePrefix="0" xfId="0">
      <alignment vertical="top" wrapText="1"/>
    </xf>
    <xf numFmtId="165" fontId="5" fillId="0" borderId="0" pivotButton="0" quotePrefix="0" xfId="0"/>
    <xf numFmtId="165" fontId="3" fillId="5" borderId="0" pivotButton="0" quotePrefix="0" xfId="0"/>
    <xf numFmtId="164" fontId="5" fillId="0" borderId="0" pivotButton="0" quotePrefix="0" xfId="0"/>
    <xf numFmtId="3" fontId="7" fillId="0" borderId="0" pivotButton="0" quotePrefix="0" xfId="0"/>
    <xf numFmtId="165" fontId="7" fillId="0" borderId="0" pivotButton="0" quotePrefix="0" xfId="0"/>
    <xf numFmtId="0" fontId="3" fillId="5" borderId="0" pivotButton="0" quotePrefix="0" xfId="0"/>
    <xf numFmtId="167" fontId="5" fillId="0" borderId="0" pivotButton="0" quotePrefix="0" xfId="0"/>
    <xf numFmtId="0" fontId="8" fillId="0" borderId="0" pivotButton="0" quotePrefix="0" xfId="0"/>
    <xf numFmtId="4" fontId="5" fillId="0" borderId="0" pivotButton="0" quotePrefix="0" xfId="0"/>
    <xf numFmtId="166" fontId="5" fillId="0" borderId="0" pivotButton="0" quotePrefix="0" xfId="0"/>
    <xf numFmtId="166" fontId="3" fillId="5" borderId="0" pivotButton="0" quotePrefix="0" xfId="0"/>
    <xf numFmtId="164" fontId="7" fillId="0" borderId="0" pivotButton="0" quotePrefix="0" xfId="0"/>
    <xf numFmtId="4" fontId="7" fillId="0" borderId="0" pivotButton="0" quotePrefix="0" xfId="0"/>
    <xf numFmtId="166" fontId="7" fillId="0" borderId="0" pivotButton="0" quotePrefix="0" xfId="0"/>
    <xf numFmtId="165" fontId="3" fillId="2" borderId="0" pivotButton="0" quotePrefix="0" xfId="0"/>
    <xf numFmtId="10" fontId="7" fillId="0" borderId="0" pivotButton="0" quotePrefix="0" xfId="0"/>
    <xf numFmtId="0" fontId="8" fillId="0" borderId="0" applyAlignment="1" pivotButton="0" quotePrefix="0" xfId="0">
      <alignment horizontal="center" vertical="top"/>
    </xf>
    <xf numFmtId="164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41"/>
  <sheetViews>
    <sheetView workbookViewId="0">
      <selection activeCell="A1" sqref="A1"/>
    </sheetView>
  </sheetViews>
  <sheetFormatPr baseColWidth="8" defaultRowHeight="15"/>
  <cols>
    <col width="3" customWidth="1" min="1" max="1"/>
    <col width="118" customWidth="1" min="2" max="2"/>
  </cols>
  <sheetData>
    <row r="1">
      <c r="B1" s="1" t="inlineStr">
        <is>
          <t>UK SME BANK — BOTTOM-UP UNIT ECONOMICS MODEL</t>
        </is>
      </c>
    </row>
    <row r="2">
      <c r="B2" s="2" t="inlineStr">
        <is>
          <t>MODEL VERSION: v1.2.1 · 21 August 2026 — check github.com/tmth-studio/sme-bank-models for the latest; the version history below tells you what changed since your download.</t>
        </is>
      </c>
    </row>
    <row r="4">
      <c r="B4" s="3" t="inlineStr">
        <is>
          <t>Version history</t>
        </is>
      </c>
    </row>
    <row r="5" ht="28" customHeight="1">
      <c r="B5" s="4" t="inlineStr">
        <is>
          <t>• v1.2.1 (21 Aug 2026) — documentation only: added 'What period this models' to this Guide (steady-state annual snapshot, stationary book, churn replacement costed, transitions out of scope). No formula or input changes — results identical to v1.2.</t>
        </is>
      </c>
    </row>
    <row r="6" ht="28" customHeight="1">
      <c r="B6" s="4" t="inlineStr">
        <is>
          <t>• v1.2 (12 Aug 2026) — ranges, not points: every input carries Pessimistic/Central/Optimistic (direction-aware) with one scenario toggle driving the ACTIVE column; bands seeded only where benchmark evidence exists (BoE loan rates, Jefferies CoE, peer CET1, BoE SME PD, best-buy savings). Central results identical to v1.1.</t>
        </is>
      </c>
    </row>
    <row r="7" ht="28" customHeight="1">
      <c r="B7" s="4" t="inlineStr">
        <is>
          <t>• v1.1 (12 Aug 2026) — scenario-building granularity: Channel tag (digital-amenable/judgement) on every activity row (tab 3); per-product RM-held share inputs + RM/digital unit split columns (tab 1). Economics unchanged — tie-out and all product margins identical to v1.0.</t>
        </is>
      </c>
    </row>
    <row r="8" ht="28" customHeight="1">
      <c r="B8" s="4" t="inlineStr">
        <is>
          <t>• v1.0 (10 Aug 2026) — first published version: 9 tabs + flow register, FTP with liquidity/behavioural terms, fraud/FSCS/change-the-bank lines, segment-pod LMUs, bridge check.</t>
        </is>
      </c>
    </row>
    <row r="10">
      <c r="B10" s="3" t="inlineStr">
        <is>
          <t>What this is</t>
        </is>
      </c>
    </row>
    <row r="11" ht="39" customHeight="1">
      <c r="B11" s="4" t="inlineStr">
        <is>
          <t>• A bottom-up financial model of one regional business centre of an established UK SME bank at steady state, built to show unit costs and unit revenues across the full product suite: current accounts, instant savings, notice &amp; fixed deposits, overdrafts, term loans, asset finance, invoice finance, credit cards, and payments &amp; FX.</t>
        </is>
      </c>
    </row>
    <row r="12" ht="39" customHeight="1">
      <c r="B12" s="4" t="inlineStr">
        <is>
          <t>• It follows the Simanis / IVE bottom-up methodology ('Running the Right Numbers'): model the last-mile operating unit, derive every cost from activity drivers (transaction intensity I and customer load L), build whole costs, and check the price/margin covers them including a competitive return on capital.</t>
        </is>
      </c>
    </row>
    <row r="14">
      <c r="B14" s="3" t="inlineStr">
        <is>
          <t>What period this models</t>
        </is>
      </c>
    </row>
    <row r="15" ht="26" customHeight="1">
      <c r="B15" s="4" t="inlineStr">
        <is>
          <t>• One representative operating year at steady state. Balances are annual averages; rates and volumes are annual. There is no time axis, no ramp and no vintage cohorts — the model is a snapshot, not a forecast.</t>
        </is>
      </c>
    </row>
    <row r="16" ht="52" customHeight="1">
      <c r="B16" s="4" t="inlineStr">
        <is>
          <t>• The book is stationary but not free to hold flat: customers churn (12% p.a. input) and the model costs their replacement — net new-customer onboarding hours, KYC per new customer, and RM acquisition effort are all driver-linked (Simanis: at-scale operations include 'replacement of customer churn'). Demand-generation spend (brand &amp; marketing) sits in the HQ overhead pool as a joint cost, not driver-linked to replacement volume.</t>
        </is>
      </c>
    </row>
    <row r="17" ht="26" customHeight="1">
      <c r="B17" s="4" t="inlineStr">
        <is>
          <t>• The capital charge (cost of equity on allocated capital) is the incumbent analogue of Simanis's start-up-cost amortisation: capital earns its required return inside the steady-state P&amp;L.</t>
        </is>
      </c>
    </row>
    <row r="18" ht="52" customHeight="1">
      <c r="B18" s="4" t="inlineStr">
        <is>
          <t>• Out of scope by design: transition paths. The cost and cash shape of moving between steady states — digital migration, maturity glide, behaviour-change programmes and their CAC/incentives — belongs in a scenario layer built ON TOP of this base (comparative statics between two runs of this model, plus a separate transition-cost estimate). The base model never carries scenario logic.</t>
        </is>
      </c>
    </row>
    <row r="20">
      <c r="B20" s="3" t="inlineStr">
        <is>
          <t>How the tabs map to the methodology</t>
        </is>
      </c>
    </row>
    <row r="21" ht="24" customHeight="1">
      <c r="B21" s="4" t="inlineStr">
        <is>
          <t>• Inputs — every assumption in one place, with sources. Edit blue cells; yellow cells are the biggest levers.</t>
        </is>
      </c>
    </row>
    <row r="22" ht="26" customHeight="1">
      <c r="B22" s="4" t="inlineStr">
        <is>
          <t>• 1. Customers — Step 1: bound the operating unit. Reachable market (R) × penetration (P) → customers → product volumes and balances.</t>
        </is>
      </c>
    </row>
    <row r="23" ht="26" customHeight="1">
      <c r="B23" s="4" t="inlineStr">
        <is>
          <t>• 2. Revenues — unit revenue per product: interest margins measured against internal funds transfer prices (Bank Rate for floating, + premium for term), plus fees.</t>
        </is>
      </c>
    </row>
    <row r="24" ht="26" customHeight="1">
      <c r="B24" s="4" t="inlineStr">
        <is>
          <t>• 3. HR &amp; Activity — Step 2: every FTE derived from activity drivers (hours per onboarding, review, renewal…) — nothing is assumed as headcount.</t>
        </is>
      </c>
    </row>
    <row r="25" ht="24" customHeight="1">
      <c r="B25" s="4" t="inlineStr">
        <is>
          <t>• 4. Running Costs — the unit's direct running costs plus its share of head-office costs.</t>
        </is>
      </c>
    </row>
    <row r="26" ht="26" customHeight="1">
      <c r="B26" s="4" t="inlineStr">
        <is>
          <t>• 5. Risk &amp; Capital — Step 3: expected credit losses (PD × LGD), risk-weighted assets, allocated equity, and the required return on it.</t>
        </is>
      </c>
    </row>
    <row r="27" ht="91" customHeight="1">
      <c r="B27" s="4" t="inlineStr">
        <is>
          <t>• 6. Unit Economics — Steps 4–5: per-product unit costs and revenues on an activity-based costing basis, taken exactly as far as causality runs (the source methodology's own rule: link costs to customers and transactions 'whenever possible'). Costs with real drivers — servicing hours, RM effort per origination, staff-time-driven supervision, per-account and per-facility infrastructure — are attributed to products; genuinely joint costs (brand, exec, finance, platform build) are NOT forced into products but held as an unallocated hurdle that total contribution must clear, with a full-absorption memo showing the source doc's simple-division treatment. Product decisions should run on contribution.</t>
        </is>
      </c>
    </row>
    <row r="28" ht="26" customHeight="1">
      <c r="B28" s="4" t="inlineStr">
        <is>
          <t>• 7. P&amp;L — the whole-cost P&amp;L of the operating unit at steady state, key ratios vs industry benchmarks, and the Simanis cost-driver table.</t>
        </is>
      </c>
    </row>
    <row r="29" ht="26" customHeight="1">
      <c r="B29" s="4" t="inlineStr">
        <is>
          <t>• 8. Org Structure — the whole-bank organisation implied by the model: front-line FTEs from activity drivers × number of centres, head-office FTEs backed out of the per-customer head-office cost allocations.</t>
        </is>
      </c>
    </row>
    <row r="30" ht="52" customHeight="1">
      <c r="B30" s="4" t="inlineStr">
        <is>
          <t>• 9. Flow Register — one row per flow on the operational model map: component type (CP/WP/PP/PartP), core/support/enabling, direction, digital/physical medium, the direct/administrative/managerial roles accountable, and the BIAN service domains. Ends with a BIAN completeness checklist. This is where the map, the ARM and BIAN reconcile.</t>
        </is>
      </c>
    </row>
    <row r="32">
      <c r="B32" s="3" t="inlineStr">
        <is>
          <t>Colour legend</t>
        </is>
      </c>
    </row>
    <row r="33" ht="26" customHeight="1">
      <c r="B33" s="4" t="inlineStr">
        <is>
          <t>• Blue = hardcoded input (edit these) · Yellow fill = key assumption / sensitivity lever · Black = formula · Green = link to another sheet.</t>
        </is>
      </c>
    </row>
    <row r="35">
      <c r="B35" s="3" t="inlineStr">
        <is>
          <t>Reading the results</t>
        </is>
      </c>
    </row>
    <row r="36" ht="52" customHeight="1">
      <c r="B36" s="4" t="inlineStr">
        <is>
          <t>• Deposit products earn the spread between the transfer price and the rate paid; lending earns the customer rate minus the transfer price minus expected losses. Capital-heavy, labour-heavy products (term loans) can show thin or negative economic profit — consistent with the Bank of England's 2026 finding that SME lending earns the lowest product-level returns, driven by impairments and per-borrower servicing costs.</t>
        </is>
      </c>
    </row>
    <row r="37" ht="39" customHeight="1">
      <c r="B37" s="4" t="inlineStr">
        <is>
          <t>• Use the cost-driver table on the P&amp;L tab to find leverage points, then trace them to transaction intensity (I) or customer load (L) assumptions on the Inputs tab — e.g. automating underwriting hours, raising RM portfolio size, or shifting servicing to digital.</t>
        </is>
      </c>
    </row>
    <row r="39">
      <c r="B39" s="3" t="inlineStr">
        <is>
          <t>Caveats</t>
        </is>
      </c>
    </row>
    <row r="40" ht="39" customHeight="1">
      <c r="B40" s="4" t="inlineStr">
        <is>
          <t>• Benchmarks are as of August 2026 (Bank Rate 3.75%; BoE effective new SME loan rate ~6.3%; commercial interchange 1.65–1.90%; invoice finance discount base+1–3%). Items marked 'Assumption' are illustrative and should be replaced with your own data.</t>
        </is>
      </c>
    </row>
    <row r="41" ht="65" customHeight="1">
      <c r="B41" s="4" t="inlineStr">
        <is>
          <t>• The FTP now carries an explicit liquidity charge (buffer × drag) and a behavioural credit for stable deposits, shown as memos on the Revenues tab; it is still a single curve, not a full behavioural-maturity model. Fraud &amp; payment losses, the FSCS levy, collateral administration &amp; recoveries, and change-the-bank spend are now modelled explicitly. Operational-risk RWA is proxied at 15% of gross income; head-office and change costs are allocated per customer.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H17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52" customWidth="1" min="2" max="2"/>
    <col width="13" customWidth="1" min="3" max="3"/>
    <col width="12" customWidth="1" min="4" max="4"/>
    <col width="12" customWidth="1" min="5" max="5"/>
    <col width="13" customWidth="1" min="6" max="6"/>
    <col width="10" customWidth="1" min="7" max="7"/>
    <col width="90" customWidth="1" min="8" max="8"/>
  </cols>
  <sheetData>
    <row r="1">
      <c r="B1" s="1" t="inlineStr">
        <is>
          <t>INPUTS &amp; ASSUMPTIONS — UK SME BANK BOTTOM-UP MODEL</t>
        </is>
      </c>
    </row>
    <row r="2">
      <c r="B2" s="5" t="inlineStr">
        <is>
          <t>Edit blue cells. Yellow = highest-impact levers. RANGES: every input carries Pessimistic (D) / Central (C) / Optimistic (E) — direction-aware, not numeric low/high; the model runs on ACTIVE (F) via the scenario toggle. Bands are seeded only where benchmark evidence exists; when adapting with your own data, record your uncertainty in D/E rather than flattening to a point.</t>
        </is>
      </c>
    </row>
    <row r="4">
      <c r="B4" s="2" t="inlineStr">
        <is>
          <t>SCENARIO TOGGLE (1 = pessimistic · 2 = central · 3 = optimistic)</t>
        </is>
      </c>
      <c r="C4" s="6" t="n">
        <v>2</v>
      </c>
    </row>
    <row r="6">
      <c r="B6" s="7" t="inlineStr">
        <is>
          <t>A. MARKET &amp; FUNDING RATES</t>
        </is>
      </c>
      <c r="C6" s="8" t="inlineStr"/>
      <c r="D6" s="8" t="inlineStr"/>
      <c r="E6" s="8" t="inlineStr"/>
    </row>
    <row r="7">
      <c r="B7" s="9" t="inlineStr">
        <is>
          <t>Item</t>
        </is>
      </c>
      <c r="C7" s="9" t="inlineStr">
        <is>
          <t>Central</t>
        </is>
      </c>
      <c r="D7" s="9" t="inlineStr">
        <is>
          <t>Pessimistic</t>
        </is>
      </c>
      <c r="E7" s="9" t="inlineStr">
        <is>
          <t>Optimistic</t>
        </is>
      </c>
      <c r="F7" s="9" t="inlineStr">
        <is>
          <t>ACTIVE</t>
        </is>
      </c>
      <c r="G7" s="9" t="inlineStr">
        <is>
          <t>Unit</t>
        </is>
      </c>
      <c r="H7" s="9" t="inlineStr">
        <is>
          <t>Source / note</t>
        </is>
      </c>
    </row>
    <row r="8">
      <c r="B8" s="10" t="inlineStr">
        <is>
          <t>Bank of England Bank Rate</t>
        </is>
      </c>
      <c r="C8" s="11" t="n">
        <v>0.0375</v>
      </c>
      <c r="D8" s="12" t="n">
        <v>0.0375</v>
      </c>
      <c r="E8" s="12" t="n">
        <v>0.0375</v>
      </c>
      <c r="F8" s="13">
        <f>CHOOSE('Inputs'!$C$4,D8,C8,E8)</f>
        <v/>
      </c>
      <c r="G8" s="14" t="inlineStr">
        <is>
          <t>% p.a.</t>
        </is>
      </c>
      <c r="H8" s="5" t="inlineStr">
        <is>
          <t>BoE Bank Rate held at 3.75%, July 2026 (bankofengland.co.uk; moneysavingexpert.com)</t>
        </is>
      </c>
    </row>
    <row r="9">
      <c r="B9" s="10" t="inlineStr">
        <is>
          <t>Term funding premium over Bank Rate</t>
        </is>
      </c>
      <c r="C9" s="15" t="n">
        <v>0.006</v>
      </c>
      <c r="D9" s="12" t="n">
        <v>0.006</v>
      </c>
      <c r="E9" s="12" t="n">
        <v>0.006</v>
      </c>
      <c r="F9" s="13">
        <f>CHOOSE('Inputs'!$C$4,D9,C9,E9)</f>
        <v/>
      </c>
      <c r="G9" s="14" t="inlineStr">
        <is>
          <t>% p.a.</t>
        </is>
      </c>
      <c r="H9" s="5" t="inlineStr">
        <is>
          <t>Assumption: cost of term funding above base — 1yr fixed business deposits pay 4.2–4.6% vs base 3.75% (businessexpert.co.uk, Jul 2026)</t>
        </is>
      </c>
    </row>
    <row r="10">
      <c r="B10" s="10" t="inlineStr">
        <is>
          <t>Funds transfer price — floating (= Bank Rate)</t>
        </is>
      </c>
      <c r="C10" s="16">
        <f>'Inputs'!$F$8</f>
        <v/>
      </c>
      <c r="F10" s="16">
        <f>C10</f>
        <v/>
      </c>
      <c r="G10" s="14" t="inlineStr">
        <is>
          <t>% p.a.</t>
        </is>
      </c>
      <c r="H10" s="5" t="inlineStr">
        <is>
          <t>Internal transfer price credited to deposits / charged to floating lending</t>
        </is>
      </c>
    </row>
    <row r="11">
      <c r="B11" s="10" t="inlineStr">
        <is>
          <t>Funds transfer price — term (= Bank Rate + premium)</t>
        </is>
      </c>
      <c r="C11" s="16">
        <f>'Inputs'!$F$8+'Inputs'!$F$9</f>
        <v/>
      </c>
      <c r="F11" s="16">
        <f>C11</f>
        <v/>
      </c>
      <c r="G11" s="14" t="inlineStr">
        <is>
          <t>% p.a.</t>
        </is>
      </c>
      <c r="H11" s="5" t="inlineStr">
        <is>
          <t>Charged to term/fixed-rate lending; credited to term deposits</t>
        </is>
      </c>
    </row>
    <row r="12">
      <c r="B12" s="7" t="inlineStr">
        <is>
          <t>A2. LIQUIDITY &amp; FUNDING (explicit FTP: liquidity charge + behavioural deposit credit)</t>
        </is>
      </c>
      <c r="C12" s="8" t="inlineStr"/>
      <c r="D12" s="8" t="inlineStr"/>
      <c r="E12" s="8" t="inlineStr"/>
    </row>
    <row r="13">
      <c r="B13" s="9" t="inlineStr">
        <is>
          <t>Item</t>
        </is>
      </c>
      <c r="C13" s="9" t="inlineStr">
        <is>
          <t>Central</t>
        </is>
      </c>
      <c r="D13" s="9" t="inlineStr">
        <is>
          <t>Pessimistic</t>
        </is>
      </c>
      <c r="E13" s="9" t="inlineStr">
        <is>
          <t>Optimistic</t>
        </is>
      </c>
      <c r="F13" s="9" t="inlineStr">
        <is>
          <t>ACTIVE</t>
        </is>
      </c>
      <c r="G13" s="9" t="inlineStr">
        <is>
          <t>Unit</t>
        </is>
      </c>
      <c r="H13" s="9" t="inlineStr">
        <is>
          <t>Source / note</t>
        </is>
      </c>
    </row>
    <row r="14">
      <c r="B14" s="10" t="inlineStr">
        <is>
          <t>Liquidity buffer held against deposits (LCR / HQLA)</t>
        </is>
      </c>
      <c r="C14" s="17" t="n">
        <v>0.15</v>
      </c>
      <c r="D14" s="18" t="n">
        <v>0.15</v>
      </c>
      <c r="E14" s="18" t="n">
        <v>0.15</v>
      </c>
      <c r="F14" s="19">
        <f>CHOOSE('Inputs'!$C$4,D14,C14,E14)</f>
        <v/>
      </c>
      <c r="G14" s="14" t="inlineStr">
        <is>
          <t>% of deposits</t>
        </is>
      </c>
      <c r="H14" s="5" t="inlineStr">
        <is>
          <t>Assumption: high-quality liquid assets held against deposit-outflow risk</t>
        </is>
      </c>
    </row>
    <row r="15">
      <c r="B15" s="10" t="inlineStr">
        <is>
          <t>Yield give-up on the liquidity buffer vs Bank Rate</t>
        </is>
      </c>
      <c r="C15" s="11" t="n">
        <v>0.01</v>
      </c>
      <c r="D15" s="12" t="n">
        <v>0.01</v>
      </c>
      <c r="E15" s="12" t="n">
        <v>0.01</v>
      </c>
      <c r="F15" s="13">
        <f>CHOOSE('Inputs'!$C$4,D15,C15,E15)</f>
        <v/>
      </c>
      <c r="G15" s="14" t="inlineStr">
        <is>
          <t>% p.a.</t>
        </is>
      </c>
      <c r="H15" s="5" t="inlineStr">
        <is>
          <t>Assumption: HQLA (gilts, central-bank reserves) yield below Bank Rate — the cost of holding the buffer</t>
        </is>
      </c>
    </row>
    <row r="16">
      <c r="B16" s="10" t="inlineStr">
        <is>
          <t>Behavioural term credit for stable non-maturing deposits</t>
        </is>
      </c>
      <c r="C16" s="11" t="n">
        <v>0.005</v>
      </c>
      <c r="D16" s="12" t="n">
        <v>0.005</v>
      </c>
      <c r="E16" s="12" t="n">
        <v>0.005</v>
      </c>
      <c r="F16" s="13">
        <f>CHOOSE('Inputs'!$C$4,D16,C16,E16)</f>
        <v/>
      </c>
      <c r="G16" s="14" t="inlineStr">
        <is>
          <t>% p.a.</t>
        </is>
      </c>
      <c r="H16" s="5" t="inlineStr">
        <is>
          <t>Assumption: sticky current-account and savings balances behave long, so earn a term uplift over the float FTP</t>
        </is>
      </c>
    </row>
    <row r="17">
      <c r="B17" s="10" t="inlineStr">
        <is>
          <t>FTP credited to stable deposits (float − liquidity charge + behavioural credit)</t>
        </is>
      </c>
      <c r="C17" s="16">
        <f>'Inputs'!$F$10-'Inputs'!$F$14*'Inputs'!$F$15+'Inputs'!$F$16</f>
        <v/>
      </c>
      <c r="F17" s="16">
        <f>C17</f>
        <v/>
      </c>
      <c r="G17" s="14" t="inlineStr">
        <is>
          <t>% p.a.</t>
        </is>
      </c>
      <c r="H17" s="5" t="inlineStr">
        <is>
          <t>Applied to current accounts and instant savings — makes the deposit-funding value explicit</t>
        </is>
      </c>
    </row>
    <row r="18">
      <c r="B18" s="10" t="inlineStr">
        <is>
          <t>FTP credited to term deposits (term − liquidity charge)</t>
        </is>
      </c>
      <c r="C18" s="16">
        <f>'Inputs'!$F$11-'Inputs'!$F$14*'Inputs'!$F$15</f>
        <v/>
      </c>
      <c r="F18" s="16">
        <f>C18</f>
        <v/>
      </c>
      <c r="G18" s="14" t="inlineStr">
        <is>
          <t>% p.a.</t>
        </is>
      </c>
      <c r="H18" s="5" t="inlineStr">
        <is>
          <t>Applied to notice &amp; fixed deposits (already termed; no behavioural uplift)</t>
        </is>
      </c>
    </row>
    <row r="19">
      <c r="B19" s="7" t="inlineStr">
        <is>
          <t>B. OPERATING UNIT — REGIONAL BUSINESS CENTRE (Simanis Step 1: bounding)</t>
        </is>
      </c>
      <c r="C19" s="8" t="inlineStr"/>
      <c r="D19" s="8" t="inlineStr"/>
      <c r="E19" s="8" t="inlineStr"/>
    </row>
    <row r="20">
      <c r="B20" s="9" t="inlineStr">
        <is>
          <t>Item</t>
        </is>
      </c>
      <c r="C20" s="9" t="inlineStr">
        <is>
          <t>Central</t>
        </is>
      </c>
      <c r="D20" s="9" t="inlineStr">
        <is>
          <t>Pessimistic</t>
        </is>
      </c>
      <c r="E20" s="9" t="inlineStr">
        <is>
          <t>Optimistic</t>
        </is>
      </c>
      <c r="F20" s="9" t="inlineStr">
        <is>
          <t>ACTIVE</t>
        </is>
      </c>
      <c r="G20" s="9" t="inlineStr">
        <is>
          <t>Unit</t>
        </is>
      </c>
      <c r="H20" s="9" t="inlineStr">
        <is>
          <t>Source / note</t>
        </is>
      </c>
    </row>
    <row r="21">
      <c r="B21" s="10" t="inlineStr">
        <is>
          <t>Reachable SMEs in region (R)</t>
        </is>
      </c>
      <c r="C21" s="20" t="n">
        <v>18750</v>
      </c>
      <c r="D21" s="21" t="n">
        <v>18750</v>
      </c>
      <c r="E21" s="21" t="n">
        <v>18750</v>
      </c>
      <c r="F21" s="22">
        <f>CHOOSE('Inputs'!$C$4,D21,C21,E21)</f>
        <v/>
      </c>
      <c r="G21" s="14" t="inlineStr">
        <is>
          <t>businesses</t>
        </is>
      </c>
      <c r="H21" s="5" t="inlineStr">
        <is>
          <t>Catchment per centre: UK's ~5.6m businesses (DBT Business Population Estimates) ÷ 300 centres of national coverage</t>
        </is>
      </c>
    </row>
    <row r="22">
      <c r="B22" s="10" t="inlineStr">
        <is>
          <t>Steady-state penetration (P)</t>
        </is>
      </c>
      <c r="C22" s="23" t="n">
        <v>0.16</v>
      </c>
      <c r="D22" s="18" t="n">
        <v>0.16</v>
      </c>
      <c r="E22" s="18" t="n">
        <v>0.16</v>
      </c>
      <c r="F22" s="19">
        <f>CHOOSE('Inputs'!$C$4,D22,C22,E22)</f>
        <v/>
      </c>
      <c r="G22" s="14" t="inlineStr">
        <is>
          <t>% of reachable</t>
        </is>
      </c>
      <c r="H22" s="5" t="inlineStr">
        <is>
          <t>Set so 300 centres × 3,000 customers = 900,000 BCA customers — a ~16% national SME market share, i.e. big-4 incumbent territory (Barclays/Lloyds each serve ~1m+ business customers)</t>
        </is>
      </c>
    </row>
    <row r="23">
      <c r="B23" s="10" t="inlineStr">
        <is>
          <t>Annual customer churn (replaced at steady state)</t>
        </is>
      </c>
      <c r="C23" s="17" t="n">
        <v>0.12</v>
      </c>
      <c r="D23" s="18" t="n">
        <v>0.12</v>
      </c>
      <c r="E23" s="18" t="n">
        <v>0.12</v>
      </c>
      <c r="F23" s="19">
        <f>CHOOSE('Inputs'!$C$4,D23,C23,E23)</f>
        <v/>
      </c>
      <c r="G23" s="14" t="inlineStr">
        <is>
          <t>% p.a.</t>
        </is>
      </c>
      <c r="H23" s="5" t="inlineStr">
        <is>
          <t>Assumption: SME banking attrition; drives onboarding workload</t>
        </is>
      </c>
    </row>
    <row r="24">
      <c r="B24" s="10" t="inlineStr">
        <is>
          <t>Share of customers that are relationship-managed</t>
        </is>
      </c>
      <c r="C24" s="17" t="n">
        <v>0.15</v>
      </c>
      <c r="D24" s="18" t="n">
        <v>0.15</v>
      </c>
      <c r="E24" s="18" t="n">
        <v>0.15</v>
      </c>
      <c r="F24" s="19">
        <f>CHOOSE('Inputs'!$C$4,D24,C24,E24)</f>
        <v/>
      </c>
      <c r="G24" s="14" t="inlineStr">
        <is>
          <t>%</t>
        </is>
      </c>
      <c r="H24" s="5" t="inlineStr">
        <is>
          <t>SEGMENT BOUNDARY: larger SMEs (by turnover/complexity) get a named RM; the small-business mass is served digitally</t>
        </is>
      </c>
    </row>
    <row r="25">
      <c r="B25" s="10" t="inlineStr">
        <is>
          <t>Customers per relationship manager (L)</t>
        </is>
      </c>
      <c r="C25" s="24" t="n">
        <v>120</v>
      </c>
      <c r="D25" s="21" t="n">
        <v>120</v>
      </c>
      <c r="E25" s="21" t="n">
        <v>120</v>
      </c>
      <c r="F25" s="22">
        <f>CHOOSE('Inputs'!$C$4,D25,C25,E25)</f>
        <v/>
      </c>
      <c r="G25" s="14" t="inlineStr">
        <is>
          <t>customers</t>
        </is>
      </c>
      <c r="H25" s="5" t="inlineStr">
        <is>
          <t>Assumption: RM portfolio size (customer load)</t>
        </is>
      </c>
    </row>
    <row r="26">
      <c r="B26" s="10" t="inlineStr">
        <is>
          <t>RMs per relationship pod</t>
        </is>
      </c>
      <c r="C26" s="20" t="n">
        <v>6</v>
      </c>
      <c r="D26" s="21" t="n">
        <v>6</v>
      </c>
      <c r="E26" s="21" t="n">
        <v>6</v>
      </c>
      <c r="F26" s="22">
        <f>CHOOSE('Inputs'!$C$4,D26,C26,E26)</f>
        <v/>
      </c>
      <c r="G26" s="14" t="inlineStr">
        <is>
          <t>RMs</t>
        </is>
      </c>
      <c r="H26" s="5" t="inlineStr">
        <is>
          <t>Segment-bounded LMU: a relationship pod = pod lead + RMs + analysts; capacity = RMs × portfolio</t>
        </is>
      </c>
    </row>
    <row r="27">
      <c r="B27" s="10" t="inlineStr">
        <is>
          <t>Service &amp; ops FTE per digital service pod</t>
        </is>
      </c>
      <c r="C27" s="20" t="n">
        <v>10</v>
      </c>
      <c r="D27" s="21" t="n">
        <v>10</v>
      </c>
      <c r="E27" s="21" t="n">
        <v>10</v>
      </c>
      <c r="F27" s="22">
        <f>CHOOSE('Inputs'!$C$4,D27,C27,E27)</f>
        <v/>
      </c>
      <c r="G27" s="14" t="inlineStr">
        <is>
          <t>FTE</t>
        </is>
      </c>
      <c r="H27" s="5" t="inlineStr">
        <is>
          <t>Segment-bounded LMU: a digital pod serves the small-business segment via app + contact centre</t>
        </is>
      </c>
    </row>
    <row r="28">
      <c r="B28" s="7" t="inlineStr">
        <is>
          <t>C. PRODUCT HOLDINGS &amp; BALANCES (per customer)</t>
        </is>
      </c>
      <c r="C28" s="8" t="inlineStr"/>
      <c r="D28" s="8" t="inlineStr"/>
      <c r="E28" s="8" t="inlineStr"/>
    </row>
    <row r="29">
      <c r="B29" s="9" t="inlineStr">
        <is>
          <t>Item</t>
        </is>
      </c>
      <c r="C29" s="9" t="inlineStr">
        <is>
          <t>Central</t>
        </is>
      </c>
      <c r="D29" s="9" t="inlineStr">
        <is>
          <t>Pessimistic</t>
        </is>
      </c>
      <c r="E29" s="9" t="inlineStr">
        <is>
          <t>Optimistic</t>
        </is>
      </c>
      <c r="F29" s="9" t="inlineStr">
        <is>
          <t>ACTIVE</t>
        </is>
      </c>
      <c r="G29" s="9" t="inlineStr">
        <is>
          <t>Unit</t>
        </is>
      </c>
      <c r="H29" s="9" t="inlineStr">
        <is>
          <t>Source / note</t>
        </is>
      </c>
    </row>
    <row r="30">
      <c r="B30" s="10" t="inlineStr">
        <is>
          <t>Business current account — penetration</t>
        </is>
      </c>
      <c r="C30" s="17" t="n">
        <v>1</v>
      </c>
      <c r="D30" s="18" t="n">
        <v>1</v>
      </c>
      <c r="E30" s="18" t="n">
        <v>1</v>
      </c>
      <c r="F30" s="19">
        <f>CHOOSE('Inputs'!$C$4,D30,C30,E30)</f>
        <v/>
      </c>
      <c r="G30" s="14" t="inlineStr">
        <is>
          <t>% of customers</t>
        </is>
      </c>
      <c r="H30" s="5" t="inlineStr">
        <is>
          <t>Anchor product: every customer holds a BCA</t>
        </is>
      </c>
    </row>
    <row r="31">
      <c r="B31" s="10" t="inlineStr">
        <is>
          <t>BCA — average credit balance</t>
        </is>
      </c>
      <c r="C31" s="25" t="n">
        <v>18000</v>
      </c>
      <c r="D31" s="25" t="n">
        <v>14000</v>
      </c>
      <c r="E31" s="25" t="n">
        <v>22000</v>
      </c>
      <c r="F31" s="26">
        <f>CHOOSE('Inputs'!$C$4,D31,C31,E31)</f>
        <v/>
      </c>
      <c r="G31" s="14" t="inlineStr">
        <is>
          <t>£/account</t>
        </is>
      </c>
      <c r="H31" s="5" t="inlineStr">
        <is>
          <t>Assumption — NO public benchmark exists (top internal-validation item); wide band reflects that</t>
        </is>
      </c>
    </row>
    <row r="32">
      <c r="B32" s="10" t="inlineStr">
        <is>
          <t>Instant-access savings — penetration</t>
        </is>
      </c>
      <c r="C32" s="17" t="n">
        <v>0.4</v>
      </c>
      <c r="D32" s="18" t="n">
        <v>0.4</v>
      </c>
      <c r="E32" s="18" t="n">
        <v>0.4</v>
      </c>
      <c r="F32" s="19">
        <f>CHOOSE('Inputs'!$C$4,D32,C32,E32)</f>
        <v/>
      </c>
      <c r="G32" s="14" t="inlineStr">
        <is>
          <t>%</t>
        </is>
      </c>
      <c r="H32" s="5" t="inlineStr">
        <is>
          <t>Assumption</t>
        </is>
      </c>
    </row>
    <row r="33">
      <c r="B33" s="10" t="inlineStr">
        <is>
          <t>Instant-access savings — average balance</t>
        </is>
      </c>
      <c r="C33" s="27" t="n">
        <v>30000</v>
      </c>
      <c r="D33" s="28" t="n">
        <v>30000</v>
      </c>
      <c r="E33" s="28" t="n">
        <v>30000</v>
      </c>
      <c r="F33" s="26">
        <f>CHOOSE('Inputs'!$C$4,D33,C33,E33)</f>
        <v/>
      </c>
      <c r="G33" s="14" t="inlineStr">
        <is>
          <t>£/account</t>
        </is>
      </c>
      <c r="H33" s="5" t="inlineStr">
        <is>
          <t>Assumption</t>
        </is>
      </c>
    </row>
    <row r="34">
      <c r="B34" s="10" t="inlineStr">
        <is>
          <t>Notice &amp; fixed deposits — penetration</t>
        </is>
      </c>
      <c r="C34" s="17" t="n">
        <v>0.15</v>
      </c>
      <c r="D34" s="18" t="n">
        <v>0.15</v>
      </c>
      <c r="E34" s="18" t="n">
        <v>0.15</v>
      </c>
      <c r="F34" s="19">
        <f>CHOOSE('Inputs'!$C$4,D34,C34,E34)</f>
        <v/>
      </c>
      <c r="G34" s="14" t="inlineStr">
        <is>
          <t>%</t>
        </is>
      </c>
      <c r="H34" s="5" t="inlineStr">
        <is>
          <t>Assumption</t>
        </is>
      </c>
    </row>
    <row r="35">
      <c r="B35" s="10" t="inlineStr">
        <is>
          <t>Notice &amp; fixed deposits — average balance</t>
        </is>
      </c>
      <c r="C35" s="27" t="n">
        <v>75000</v>
      </c>
      <c r="D35" s="28" t="n">
        <v>75000</v>
      </c>
      <c r="E35" s="28" t="n">
        <v>75000</v>
      </c>
      <c r="F35" s="26">
        <f>CHOOSE('Inputs'!$C$4,D35,C35,E35)</f>
        <v/>
      </c>
      <c r="G35" s="14" t="inlineStr">
        <is>
          <t>£/account</t>
        </is>
      </c>
      <c r="H35" s="5" t="inlineStr">
        <is>
          <t>Assumption</t>
        </is>
      </c>
    </row>
    <row r="36">
      <c r="B36" s="10" t="inlineStr">
        <is>
          <t>Overdraft — penetration</t>
        </is>
      </c>
      <c r="C36" s="17" t="n">
        <v>0.25</v>
      </c>
      <c r="D36" s="18" t="n">
        <v>0.25</v>
      </c>
      <c r="E36" s="18" t="n">
        <v>0.25</v>
      </c>
      <c r="F36" s="19">
        <f>CHOOSE('Inputs'!$C$4,D36,C36,E36)</f>
        <v/>
      </c>
      <c r="G36" s="14" t="inlineStr">
        <is>
          <t>%</t>
        </is>
      </c>
      <c r="H36" s="5" t="inlineStr">
        <is>
          <t>Assumption: share of customers with a facility</t>
        </is>
      </c>
    </row>
    <row r="37">
      <c r="B37" s="10" t="inlineStr">
        <is>
          <t>Overdraft — average limit</t>
        </is>
      </c>
      <c r="C37" s="27" t="n">
        <v>15000</v>
      </c>
      <c r="D37" s="28" t="n">
        <v>15000</v>
      </c>
      <c r="E37" s="28" t="n">
        <v>15000</v>
      </c>
      <c r="F37" s="26">
        <f>CHOOSE('Inputs'!$C$4,D37,C37,E37)</f>
        <v/>
      </c>
      <c r="G37" s="14" t="inlineStr">
        <is>
          <t>£/facility</t>
        </is>
      </c>
      <c r="H37" s="5" t="inlineStr">
        <is>
          <t>Assumption</t>
        </is>
      </c>
    </row>
    <row r="38">
      <c r="B38" s="10" t="inlineStr">
        <is>
          <t>Overdraft — average utilisation</t>
        </is>
      </c>
      <c r="C38" s="17" t="n">
        <v>0.45</v>
      </c>
      <c r="D38" s="18" t="n">
        <v>0.45</v>
      </c>
      <c r="E38" s="18" t="n">
        <v>0.45</v>
      </c>
      <c r="F38" s="19">
        <f>CHOOSE('Inputs'!$C$4,D38,C38,E38)</f>
        <v/>
      </c>
      <c r="G38" s="14" t="inlineStr">
        <is>
          <t>% of limit</t>
        </is>
      </c>
      <c r="H38" s="5" t="inlineStr">
        <is>
          <t>Assumption</t>
        </is>
      </c>
    </row>
    <row r="39">
      <c r="B39" s="10" t="inlineStr">
        <is>
          <t>Term loans / commercial mortgages — penetration</t>
        </is>
      </c>
      <c r="C39" s="17" t="n">
        <v>0.12</v>
      </c>
      <c r="D39" s="18" t="n">
        <v>0.12</v>
      </c>
      <c r="E39" s="18" t="n">
        <v>0.12</v>
      </c>
      <c r="F39" s="19">
        <f>CHOOSE('Inputs'!$C$4,D39,C39,E39)</f>
        <v/>
      </c>
      <c r="G39" s="14" t="inlineStr">
        <is>
          <t>%</t>
        </is>
      </c>
      <c r="H39" s="5" t="inlineStr">
        <is>
          <t>Assumption</t>
        </is>
      </c>
    </row>
    <row r="40">
      <c r="B40" s="10" t="inlineStr">
        <is>
          <t>Term loans — average balance</t>
        </is>
      </c>
      <c r="C40" s="25" t="n">
        <v>250000</v>
      </c>
      <c r="D40" s="28" t="n">
        <v>250000</v>
      </c>
      <c r="E40" s="28" t="n">
        <v>250000</v>
      </c>
      <c r="F40" s="26">
        <f>CHOOSE('Inputs'!$C$4,D40,C40,E40)</f>
        <v/>
      </c>
      <c r="G40" s="14" t="inlineStr">
        <is>
          <t>£/loan</t>
        </is>
      </c>
      <c r="H40" s="5" t="inlineStr">
        <is>
          <t>Assumption</t>
        </is>
      </c>
    </row>
    <row r="41">
      <c r="B41" s="10" t="inlineStr">
        <is>
          <t>Term loans — average life</t>
        </is>
      </c>
      <c r="C41" s="20" t="n">
        <v>4</v>
      </c>
      <c r="D41" s="21" t="n">
        <v>4</v>
      </c>
      <c r="E41" s="21" t="n">
        <v>4</v>
      </c>
      <c r="F41" s="22">
        <f>CHOOSE('Inputs'!$C$4,D41,C41,E41)</f>
        <v/>
      </c>
      <c r="G41" s="14" t="inlineStr">
        <is>
          <t>years</t>
        </is>
      </c>
      <c r="H41" s="5" t="inlineStr">
        <is>
          <t>Assumption: drives origination volume &amp; fee amortisation</t>
        </is>
      </c>
    </row>
    <row r="42">
      <c r="B42" s="10" t="inlineStr">
        <is>
          <t>Asset finance — penetration</t>
        </is>
      </c>
      <c r="C42" s="17" t="n">
        <v>0.08</v>
      </c>
      <c r="D42" s="18" t="n">
        <v>0.08</v>
      </c>
      <c r="E42" s="18" t="n">
        <v>0.08</v>
      </c>
      <c r="F42" s="19">
        <f>CHOOSE('Inputs'!$C$4,D42,C42,E42)</f>
        <v/>
      </c>
      <c r="G42" s="14" t="inlineStr">
        <is>
          <t>%</t>
        </is>
      </c>
      <c r="H42" s="5" t="inlineStr">
        <is>
          <t>Assumption</t>
        </is>
      </c>
    </row>
    <row r="43">
      <c r="B43" s="10" t="inlineStr">
        <is>
          <t>Asset finance — average balance</t>
        </is>
      </c>
      <c r="C43" s="27" t="n">
        <v>80000</v>
      </c>
      <c r="D43" s="28" t="n">
        <v>80000</v>
      </c>
      <c r="E43" s="28" t="n">
        <v>80000</v>
      </c>
      <c r="F43" s="26">
        <f>CHOOSE('Inputs'!$C$4,D43,C43,E43)</f>
        <v/>
      </c>
      <c r="G43" s="14" t="inlineStr">
        <is>
          <t>£/agreement</t>
        </is>
      </c>
      <c r="H43" s="5" t="inlineStr">
        <is>
          <t>Assumption (cf. Allica asset finance book £507m — bridgingloandirectory.co.uk)</t>
        </is>
      </c>
    </row>
    <row r="44">
      <c r="B44" s="10" t="inlineStr">
        <is>
          <t>Asset finance — average life</t>
        </is>
      </c>
      <c r="C44" s="29" t="n">
        <v>3.5</v>
      </c>
      <c r="D44" s="30" t="n">
        <v>3.5</v>
      </c>
      <c r="E44" s="30" t="n">
        <v>3.5</v>
      </c>
      <c r="F44" s="31">
        <f>CHOOSE('Inputs'!$C$4,D44,C44,E44)</f>
        <v/>
      </c>
      <c r="G44" s="14" t="inlineStr">
        <is>
          <t>years</t>
        </is>
      </c>
      <c r="H44" s="5" t="inlineStr">
        <is>
          <t>Assumption</t>
        </is>
      </c>
    </row>
    <row r="45">
      <c r="B45" s="10" t="inlineStr">
        <is>
          <t>Invoice finance — penetration</t>
        </is>
      </c>
      <c r="C45" s="17" t="n">
        <v>0.03</v>
      </c>
      <c r="D45" s="18" t="n">
        <v>0.03</v>
      </c>
      <c r="E45" s="18" t="n">
        <v>0.03</v>
      </c>
      <c r="F45" s="19">
        <f>CHOOSE('Inputs'!$C$4,D45,C45,E45)</f>
        <v/>
      </c>
      <c r="G45" s="14" t="inlineStr">
        <is>
          <t>%</t>
        </is>
      </c>
      <c r="H45" s="5" t="inlineStr">
        <is>
          <t>Assumption</t>
        </is>
      </c>
    </row>
    <row r="46">
      <c r="B46" s="10" t="inlineStr">
        <is>
          <t>Invoice finance — average funds in use (advances)</t>
        </is>
      </c>
      <c r="C46" s="27" t="n">
        <v>150000</v>
      </c>
      <c r="D46" s="28" t="n">
        <v>150000</v>
      </c>
      <c r="E46" s="28" t="n">
        <v>150000</v>
      </c>
      <c r="F46" s="26">
        <f>CHOOSE('Inputs'!$C$4,D46,C46,E46)</f>
        <v/>
      </c>
      <c r="G46" s="14" t="inlineStr">
        <is>
          <t>£/client</t>
        </is>
      </c>
      <c r="H46" s="5" t="inlineStr">
        <is>
          <t>Assumption</t>
        </is>
      </c>
    </row>
    <row r="47">
      <c r="B47" s="10" t="inlineStr">
        <is>
          <t>Invoice finance — average client life</t>
        </is>
      </c>
      <c r="C47" s="20" t="n">
        <v>4</v>
      </c>
      <c r="D47" s="21" t="n">
        <v>4</v>
      </c>
      <c r="E47" s="21" t="n">
        <v>4</v>
      </c>
      <c r="F47" s="22">
        <f>CHOOSE('Inputs'!$C$4,D47,C47,E47)</f>
        <v/>
      </c>
      <c r="G47" s="14" t="inlineStr">
        <is>
          <t>years</t>
        </is>
      </c>
      <c r="H47" s="5" t="inlineStr">
        <is>
          <t>Assumption</t>
        </is>
      </c>
    </row>
    <row r="48">
      <c r="B48" s="10" t="inlineStr">
        <is>
          <t>Invoice finance — funded invoices as multiple of advances</t>
        </is>
      </c>
      <c r="C48" s="20" t="n">
        <v>8</v>
      </c>
      <c r="D48" s="21" t="n">
        <v>8</v>
      </c>
      <c r="E48" s="21" t="n">
        <v>8</v>
      </c>
      <c r="F48" s="22">
        <f>CHOOSE('Inputs'!$C$4,D48,C48,E48)</f>
        <v/>
      </c>
      <c r="G48" s="14" t="inlineStr">
        <is>
          <t>x p.a.</t>
        </is>
      </c>
      <c r="H48" s="5" t="inlineStr">
        <is>
          <t>≈45 debtor days: annual funded invoice value ≈ 8× funds in use</t>
        </is>
      </c>
    </row>
    <row r="49">
      <c r="B49" s="10" t="inlineStr">
        <is>
          <t>Business credit card — penetration</t>
        </is>
      </c>
      <c r="C49" s="17" t="n">
        <v>0.3</v>
      </c>
      <c r="D49" s="18" t="n">
        <v>0.3</v>
      </c>
      <c r="E49" s="18" t="n">
        <v>0.3</v>
      </c>
      <c r="F49" s="19">
        <f>CHOOSE('Inputs'!$C$4,D49,C49,E49)</f>
        <v/>
      </c>
      <c r="G49" s="14" t="inlineStr">
        <is>
          <t>%</t>
        </is>
      </c>
      <c r="H49" s="5" t="inlineStr">
        <is>
          <t>Assumption</t>
        </is>
      </c>
    </row>
    <row r="50">
      <c r="B50" s="10" t="inlineStr">
        <is>
          <t>Card — average monthly spend</t>
        </is>
      </c>
      <c r="C50" s="27" t="n">
        <v>2500</v>
      </c>
      <c r="D50" s="28" t="n">
        <v>2500</v>
      </c>
      <c r="E50" s="28" t="n">
        <v>2500</v>
      </c>
      <c r="F50" s="26">
        <f>CHOOSE('Inputs'!$C$4,D50,C50,E50)</f>
        <v/>
      </c>
      <c r="G50" s="14" t="inlineStr">
        <is>
          <t>£/card/month</t>
        </is>
      </c>
      <c r="H50" s="5" t="inlineStr">
        <is>
          <t>Assumption</t>
        </is>
      </c>
    </row>
    <row r="51">
      <c r="B51" s="10" t="inlineStr">
        <is>
          <t>Card — share of cards revolving a balance</t>
        </is>
      </c>
      <c r="C51" s="17" t="n">
        <v>0.25</v>
      </c>
      <c r="D51" s="18" t="n">
        <v>0.25</v>
      </c>
      <c r="E51" s="18" t="n">
        <v>0.25</v>
      </c>
      <c r="F51" s="19">
        <f>CHOOSE('Inputs'!$C$4,D51,C51,E51)</f>
        <v/>
      </c>
      <c r="G51" s="14" t="inlineStr">
        <is>
          <t>%</t>
        </is>
      </c>
      <c r="H51" s="5" t="inlineStr">
        <is>
          <t>Assumption</t>
        </is>
      </c>
    </row>
    <row r="52">
      <c r="B52" s="10" t="inlineStr">
        <is>
          <t>Card — average revolving balance (revolvers)</t>
        </is>
      </c>
      <c r="C52" s="27" t="n">
        <v>2000</v>
      </c>
      <c r="D52" s="28" t="n">
        <v>2000</v>
      </c>
      <c r="E52" s="28" t="n">
        <v>2000</v>
      </c>
      <c r="F52" s="26">
        <f>CHOOSE('Inputs'!$C$4,D52,C52,E52)</f>
        <v/>
      </c>
      <c r="G52" s="14" t="inlineStr">
        <is>
          <t>£/card</t>
        </is>
      </c>
      <c r="H52" s="5" t="inlineStr">
        <is>
          <t>Assumption</t>
        </is>
      </c>
    </row>
    <row r="53">
      <c r="B53" s="10" t="inlineStr">
        <is>
          <t>International payments &amp; FX — penetration</t>
        </is>
      </c>
      <c r="C53" s="17" t="n">
        <v>0.2</v>
      </c>
      <c r="D53" s="18" t="n">
        <v>0.2</v>
      </c>
      <c r="E53" s="18" t="n">
        <v>0.2</v>
      </c>
      <c r="F53" s="19">
        <f>CHOOSE('Inputs'!$C$4,D53,C53,E53)</f>
        <v/>
      </c>
      <c r="G53" s="14" t="inlineStr">
        <is>
          <t>%</t>
        </is>
      </c>
      <c r="H53" s="5" t="inlineStr">
        <is>
          <t>Assumption: share of customers using intl services</t>
        </is>
      </c>
    </row>
    <row r="54">
      <c r="B54" s="10" t="inlineStr">
        <is>
          <t>FX — average annual conversion volume</t>
        </is>
      </c>
      <c r="C54" s="27" t="n">
        <v>100000</v>
      </c>
      <c r="D54" s="28" t="n">
        <v>100000</v>
      </c>
      <c r="E54" s="28" t="n">
        <v>100000</v>
      </c>
      <c r="F54" s="26">
        <f>CHOOSE('Inputs'!$C$4,D54,C54,E54)</f>
        <v/>
      </c>
      <c r="G54" s="14" t="inlineStr">
        <is>
          <t>£/user/yr</t>
        </is>
      </c>
      <c r="H54" s="5" t="inlineStr">
        <is>
          <t>Assumption</t>
        </is>
      </c>
    </row>
    <row r="55">
      <c r="B55" s="10" t="inlineStr">
        <is>
          <t>International payments — number per user per year</t>
        </is>
      </c>
      <c r="C55" s="20" t="n">
        <v>30</v>
      </c>
      <c r="D55" s="21" t="n">
        <v>30</v>
      </c>
      <c r="E55" s="21" t="n">
        <v>30</v>
      </c>
      <c r="F55" s="22">
        <f>CHOOSE('Inputs'!$C$4,D55,C55,E55)</f>
        <v/>
      </c>
      <c r="G55" s="14" t="inlineStr">
        <is>
          <t>payments</t>
        </is>
      </c>
      <c r="H55" s="5" t="inlineStr">
        <is>
          <t>Assumption</t>
        </is>
      </c>
    </row>
    <row r="56">
      <c r="B56" s="7" t="inlineStr">
        <is>
          <t>D. PRICING &amp; FEES</t>
        </is>
      </c>
      <c r="C56" s="8" t="inlineStr"/>
      <c r="D56" s="8" t="inlineStr"/>
      <c r="E56" s="8" t="inlineStr"/>
    </row>
    <row r="57">
      <c r="B57" s="9" t="inlineStr">
        <is>
          <t>Item</t>
        </is>
      </c>
      <c r="C57" s="9" t="inlineStr">
        <is>
          <t>Central</t>
        </is>
      </c>
      <c r="D57" s="9" t="inlineStr">
        <is>
          <t>Pessimistic</t>
        </is>
      </c>
      <c r="E57" s="9" t="inlineStr">
        <is>
          <t>Optimistic</t>
        </is>
      </c>
      <c r="F57" s="9" t="inlineStr">
        <is>
          <t>ACTIVE</t>
        </is>
      </c>
      <c r="G57" s="9" t="inlineStr">
        <is>
          <t>Unit</t>
        </is>
      </c>
      <c r="H57" s="9" t="inlineStr">
        <is>
          <t>Source / note</t>
        </is>
      </c>
    </row>
    <row r="58">
      <c r="B58" s="10" t="inlineStr">
        <is>
          <t>BCA — credit interest paid</t>
        </is>
      </c>
      <c r="C58" s="15" t="n">
        <v>0.005</v>
      </c>
      <c r="D58" s="12" t="n">
        <v>0.005</v>
      </c>
      <c r="E58" s="12" t="n">
        <v>0.005</v>
      </c>
      <c r="F58" s="13">
        <f>CHOOSE('Inputs'!$C$4,D58,C58,E58)</f>
        <v/>
      </c>
      <c r="G58" s="14" t="inlineStr">
        <is>
          <t>% p.a.</t>
        </is>
      </c>
      <c r="H58" s="5" t="inlineStr">
        <is>
          <t>Assumption: most BCAs pay 0–1%</t>
        </is>
      </c>
    </row>
    <row r="59">
      <c r="B59" s="10" t="inlineStr">
        <is>
          <t>BCA — monthly account fee</t>
        </is>
      </c>
      <c r="C59" s="32" t="n">
        <v>8.5</v>
      </c>
      <c r="D59" s="33" t="n">
        <v>8.5</v>
      </c>
      <c r="E59" s="33" t="n">
        <v>8.5</v>
      </c>
      <c r="F59" s="34">
        <f>CHOOSE('Inputs'!$C$4,D59,C59,E59)</f>
        <v/>
      </c>
      <c r="G59" s="14" t="inlineStr">
        <is>
          <t>£/month</t>
        </is>
      </c>
      <c r="H59" s="5" t="inlineStr">
        <is>
          <t>Barclays standard business tariff from £8.50/mo post free period; NatWest £5–10 (anna.money comparison, 2026)</t>
        </is>
      </c>
    </row>
    <row r="60">
      <c r="B60" s="10" t="inlineStr">
        <is>
          <t>BCA — net transaction &amp; cash-handling income</t>
        </is>
      </c>
      <c r="C60" s="27" t="n">
        <v>120</v>
      </c>
      <c r="D60" s="28" t="n">
        <v>120</v>
      </c>
      <c r="E60" s="28" t="n">
        <v>120</v>
      </c>
      <c r="F60" s="26">
        <f>CHOOSE('Inputs'!$C$4,D60,C60,E60)</f>
        <v/>
      </c>
      <c r="G60" s="14" t="inlineStr">
        <is>
          <t>£/account/yr</t>
        </is>
      </c>
      <c r="H60" s="5" t="inlineStr">
        <is>
          <t>Assumption: net of payment costs; cash deposits charged 0.5–0.7% of value at majors (anna.money)</t>
        </is>
      </c>
    </row>
    <row r="61">
      <c r="B61" s="10" t="inlineStr">
        <is>
          <t>Instant-access savings — rate paid</t>
        </is>
      </c>
      <c r="C61" s="11" t="n">
        <v>0.033</v>
      </c>
      <c r="D61" s="11" t="n">
        <v>0.0386</v>
      </c>
      <c r="E61" s="11" t="n">
        <v>0.032</v>
      </c>
      <c r="F61" s="13">
        <f>CHOOSE('Inputs'!$C$4,D61,C61,E61)</f>
        <v/>
      </c>
      <c r="G61" s="14" t="inlineStr">
        <is>
          <t>% p.a.</t>
        </is>
      </c>
      <c r="H61" s="5" t="inlineStr">
        <is>
          <t>Best-buy 3.86–3.91% Jul 2026; established banks price below — pessimistic = pushed to best-buy</t>
        </is>
      </c>
    </row>
    <row r="62">
      <c r="B62" s="10" t="inlineStr">
        <is>
          <t>Notice &amp; fixed deposits — rate paid</t>
        </is>
      </c>
      <c r="C62" s="15" t="n">
        <v>0.041</v>
      </c>
      <c r="D62" s="12" t="n">
        <v>0.041</v>
      </c>
      <c r="E62" s="12" t="n">
        <v>0.041</v>
      </c>
      <c r="F62" s="13">
        <f>CHOOSE('Inputs'!$C$4,D62,C62,E62)</f>
        <v/>
      </c>
      <c r="G62" s="14" t="inlineStr">
        <is>
          <t>% p.a.</t>
        </is>
      </c>
      <c r="H62" s="5" t="inlineStr">
        <is>
          <t>Notice ~4.0%, 1-yr fixed 4.2–4.6% Jul 2026 (businessexpert.co.uk)</t>
        </is>
      </c>
    </row>
    <row r="63">
      <c r="B63" s="10" t="inlineStr">
        <is>
          <t>Overdraft — interest rate (EAR)</t>
        </is>
      </c>
      <c r="C63" s="11" t="n">
        <v>0.0975</v>
      </c>
      <c r="D63" s="12" t="n">
        <v>0.0975</v>
      </c>
      <c r="E63" s="12" t="n">
        <v>0.0975</v>
      </c>
      <c r="F63" s="13">
        <f>CHOOSE('Inputs'!$C$4,D63,C63,E63)</f>
        <v/>
      </c>
      <c r="G63" s="14" t="inlineStr">
        <is>
          <t>% p.a.</t>
        </is>
      </c>
      <c r="H63" s="5" t="inlineStr">
        <is>
          <t>Assumption: typical SME overdraft margins ~5–7% over base (major-bank rep rates)</t>
        </is>
      </c>
    </row>
    <row r="64">
      <c r="B64" s="10" t="inlineStr">
        <is>
          <t>Overdraft — annual arrangement/renewal fee</t>
        </is>
      </c>
      <c r="C64" s="15" t="n">
        <v>0.015</v>
      </c>
      <c r="D64" s="12" t="n">
        <v>0.015</v>
      </c>
      <c r="E64" s="12" t="n">
        <v>0.015</v>
      </c>
      <c r="F64" s="13">
        <f>CHOOSE('Inputs'!$C$4,D64,C64,E64)</f>
        <v/>
      </c>
      <c r="G64" s="14" t="inlineStr">
        <is>
          <t>% of limit</t>
        </is>
      </c>
      <c r="H64" s="5" t="inlineStr">
        <is>
          <t>Assumption: 1–2% of limit is typical</t>
        </is>
      </c>
    </row>
    <row r="65">
      <c r="B65" s="10" t="inlineStr">
        <is>
          <t>Term loans — customer rate</t>
        </is>
      </c>
      <c r="C65" s="11" t="n">
        <v>0.0625</v>
      </c>
      <c r="D65" s="11" t="n">
        <v>0.0611</v>
      </c>
      <c r="E65" s="11" t="n">
        <v>0.064</v>
      </c>
      <c r="F65" s="13">
        <f>CHOOSE('Inputs'!$C$4,D65,C65,E65)</f>
        <v/>
      </c>
      <c r="G65" s="14" t="inlineStr">
        <is>
          <t>% p.a.</t>
        </is>
      </c>
      <c r="H65" s="5" t="inlineStr">
        <is>
          <t>BoE effective new-SME rate 6.11% Mar 2026 (base+236bps); band seeded from market evidence</t>
        </is>
      </c>
    </row>
    <row r="66">
      <c r="B66" s="10" t="inlineStr">
        <is>
          <t>Term loans — arrangement fee</t>
        </is>
      </c>
      <c r="C66" s="15" t="n">
        <v>0.015</v>
      </c>
      <c r="D66" s="12" t="n">
        <v>0.015</v>
      </c>
      <c r="E66" s="12" t="n">
        <v>0.015</v>
      </c>
      <c r="F66" s="13">
        <f>CHOOSE('Inputs'!$C$4,D66,C66,E66)</f>
        <v/>
      </c>
      <c r="G66" s="14" t="inlineStr">
        <is>
          <t>% of loan</t>
        </is>
      </c>
      <c r="H66" s="5" t="inlineStr">
        <is>
          <t>Assumption: 1–2% typical; amortised over loan life in the model</t>
        </is>
      </c>
    </row>
    <row r="67">
      <c r="B67" s="10" t="inlineStr">
        <is>
          <t>Asset finance — customer yield</t>
        </is>
      </c>
      <c r="C67" s="15" t="n">
        <v>0.08500000000000001</v>
      </c>
      <c r="D67" s="12" t="n">
        <v>0.08500000000000001</v>
      </c>
      <c r="E67" s="12" t="n">
        <v>0.08500000000000001</v>
      </c>
      <c r="F67" s="13">
        <f>CHOOSE('Inputs'!$C$4,D67,C67,E67)</f>
        <v/>
      </c>
      <c r="G67" s="14" t="inlineStr">
        <is>
          <t>% p.a.</t>
        </is>
      </c>
      <c r="H67" s="5" t="inlineStr">
        <is>
          <t>Assumption: HP/lease yields ~8–9% for SME kit</t>
        </is>
      </c>
    </row>
    <row r="68">
      <c r="B68" s="10" t="inlineStr">
        <is>
          <t>Invoice finance — discount margin over base</t>
        </is>
      </c>
      <c r="C68" s="15" t="n">
        <v>0.025</v>
      </c>
      <c r="D68" s="12" t="n">
        <v>0.025</v>
      </c>
      <c r="E68" s="12" t="n">
        <v>0.025</v>
      </c>
      <c r="F68" s="13">
        <f>CHOOSE('Inputs'!$C$4,D68,C68,E68)</f>
        <v/>
      </c>
      <c r="G68" s="14" t="inlineStr">
        <is>
          <t>% p.a.</t>
        </is>
      </c>
      <c r="H68" s="5" t="inlineStr">
        <is>
          <t>Discount charge typically base +1–3% (marketinvoice.co.uk, 2026)</t>
        </is>
      </c>
    </row>
    <row r="69">
      <c r="B69" s="10" t="inlineStr">
        <is>
          <t>Invoice finance — service fee</t>
        </is>
      </c>
      <c r="C69" s="11" t="n">
        <v>0.01</v>
      </c>
      <c r="D69" s="12" t="n">
        <v>0.01</v>
      </c>
      <c r="E69" s="12" t="n">
        <v>0.01</v>
      </c>
      <c r="F69" s="13">
        <f>CHOOSE('Inputs'!$C$4,D69,C69,E69)</f>
        <v/>
      </c>
      <c r="G69" s="14" t="inlineStr">
        <is>
          <t>% of funded invoices</t>
        </is>
      </c>
      <c r="H69" s="5" t="inlineStr">
        <is>
          <t>Service charge typically 0.5–3% of invoice value (marketinvoice.co.uk)</t>
        </is>
      </c>
    </row>
    <row r="70">
      <c r="B70" s="10" t="inlineStr">
        <is>
          <t>Card — commercial interchange earned</t>
        </is>
      </c>
      <c r="C70" s="15" t="n">
        <v>0.017</v>
      </c>
      <c r="D70" s="12" t="n">
        <v>0.017</v>
      </c>
      <c r="E70" s="12" t="n">
        <v>0.017</v>
      </c>
      <c r="F70" s="13">
        <f>CHOOSE('Inputs'!$C$4,D70,C70,E70)</f>
        <v/>
      </c>
      <c r="G70" s="14" t="inlineStr">
        <is>
          <t>% of spend</t>
        </is>
      </c>
      <c r="H70" s="5" t="inlineStr">
        <is>
          <t>UK commercial card interchange ~1.65–1.90%, outside consumer caps (businessexpert.co.uk interchange data)</t>
        </is>
      </c>
    </row>
    <row r="71">
      <c r="B71" s="10" t="inlineStr">
        <is>
          <t>Card — annual card fee</t>
        </is>
      </c>
      <c r="C71" s="27" t="n">
        <v>32</v>
      </c>
      <c r="D71" s="28" t="n">
        <v>32</v>
      </c>
      <c r="E71" s="28" t="n">
        <v>32</v>
      </c>
      <c r="F71" s="26">
        <f>CHOOSE('Inputs'!$C$4,D71,C71,E71)</f>
        <v/>
      </c>
      <c r="G71" s="14" t="inlineStr">
        <is>
          <t>£/card/yr</t>
        </is>
      </c>
      <c r="H71" s="5" t="inlineStr">
        <is>
          <t>Assumption</t>
        </is>
      </c>
    </row>
    <row r="72">
      <c r="B72" s="10" t="inlineStr">
        <is>
          <t>Card — interest rate on revolving balances</t>
        </is>
      </c>
      <c r="C72" s="15" t="n">
        <v>0.159</v>
      </c>
      <c r="D72" s="12" t="n">
        <v>0.159</v>
      </c>
      <c r="E72" s="12" t="n">
        <v>0.159</v>
      </c>
      <c r="F72" s="13">
        <f>CHOOSE('Inputs'!$C$4,D72,C72,E72)</f>
        <v/>
      </c>
      <c r="G72" s="14" t="inlineStr">
        <is>
          <t>% p.a.</t>
        </is>
      </c>
      <c r="H72" s="5" t="inlineStr">
        <is>
          <t>Assumption: typical business card APR</t>
        </is>
      </c>
    </row>
    <row r="73">
      <c r="B73" s="10" t="inlineStr">
        <is>
          <t>FX — margin on conversion volume</t>
        </is>
      </c>
      <c r="C73" s="15" t="n">
        <v>0.0075</v>
      </c>
      <c r="D73" s="12" t="n">
        <v>0.0075</v>
      </c>
      <c r="E73" s="12" t="n">
        <v>0.0075</v>
      </c>
      <c r="F73" s="13">
        <f>CHOOSE('Inputs'!$C$4,D73,C73,E73)</f>
        <v/>
      </c>
      <c r="G73" s="14" t="inlineStr">
        <is>
          <t>% of volume</t>
        </is>
      </c>
      <c r="H73" s="5" t="inlineStr">
        <is>
          <t>Assumption: SME FX spreads typically 0.25–1.5%</t>
        </is>
      </c>
    </row>
    <row r="74">
      <c r="B74" s="10" t="inlineStr">
        <is>
          <t>International payment fee</t>
        </is>
      </c>
      <c r="C74" s="32" t="n">
        <v>17.5</v>
      </c>
      <c r="D74" s="33" t="n">
        <v>17.5</v>
      </c>
      <c r="E74" s="33" t="n">
        <v>17.5</v>
      </c>
      <c r="F74" s="34">
        <f>CHOOSE('Inputs'!$C$4,D74,C74,E74)</f>
        <v/>
      </c>
      <c r="G74" s="14" t="inlineStr">
        <is>
          <t>£/payment</t>
        </is>
      </c>
      <c r="H74" s="5" t="inlineStr">
        <is>
          <t>Major banks charge £15–25 per international payment (anna.money)</t>
        </is>
      </c>
    </row>
    <row r="75">
      <c r="B75" s="7" t="inlineStr">
        <is>
          <t>E. CREDIT RISK, CAPITAL &amp; TAX (Simanis Step 3: investment costs)</t>
        </is>
      </c>
      <c r="C75" s="8" t="inlineStr"/>
      <c r="D75" s="8" t="inlineStr"/>
      <c r="E75" s="8" t="inlineStr"/>
    </row>
    <row r="76">
      <c r="B76" s="9" t="inlineStr">
        <is>
          <t>Item</t>
        </is>
      </c>
      <c r="C76" s="9" t="inlineStr">
        <is>
          <t>Central</t>
        </is>
      </c>
      <c r="D76" s="9" t="inlineStr">
        <is>
          <t>Pessimistic</t>
        </is>
      </c>
      <c r="E76" s="9" t="inlineStr">
        <is>
          <t>Optimistic</t>
        </is>
      </c>
      <c r="F76" s="9" t="inlineStr">
        <is>
          <t>ACTIVE</t>
        </is>
      </c>
      <c r="G76" s="9" t="inlineStr">
        <is>
          <t>Unit</t>
        </is>
      </c>
      <c r="H76" s="9" t="inlineStr">
        <is>
          <t>Source / note</t>
        </is>
      </c>
    </row>
    <row r="77">
      <c r="B77" s="10" t="inlineStr">
        <is>
          <t>Overdraft — probability of default</t>
        </is>
      </c>
      <c r="C77" s="15" t="n">
        <v>0.026</v>
      </c>
      <c r="D77" s="12" t="n">
        <v>0.026</v>
      </c>
      <c r="E77" s="12" t="n">
        <v>0.026</v>
      </c>
      <c r="F77" s="13">
        <f>CHOOSE('Inputs'!$C$4,D77,C77,E77)</f>
        <v/>
      </c>
      <c r="G77" s="14" t="inlineStr">
        <is>
          <t>% p.a.</t>
        </is>
      </c>
      <c r="H77" s="5" t="inlineStr">
        <is>
          <t>BoE: retail SME PD ~2.6% vs 0.9% mid/large corporates (BoE Bank Insights 2026)</t>
        </is>
      </c>
    </row>
    <row r="78">
      <c r="B78" s="10" t="inlineStr">
        <is>
          <t>Overdraft — loss given default</t>
        </is>
      </c>
      <c r="C78" s="17" t="n">
        <v>0.55</v>
      </c>
      <c r="D78" s="18" t="n">
        <v>0.55</v>
      </c>
      <c r="E78" s="18" t="n">
        <v>0.55</v>
      </c>
      <c r="F78" s="19">
        <f>CHOOSE('Inputs'!$C$4,D78,C78,E78)</f>
        <v/>
      </c>
      <c r="G78" s="14" t="inlineStr">
        <is>
          <t>%</t>
        </is>
      </c>
      <c r="H78" s="5" t="inlineStr">
        <is>
          <t>Assumption: unsecured working capital</t>
        </is>
      </c>
    </row>
    <row r="79">
      <c r="B79" s="10" t="inlineStr">
        <is>
          <t>Term loans — probability of default</t>
        </is>
      </c>
      <c r="C79" s="15" t="n">
        <v>0.018</v>
      </c>
      <c r="D79" s="11" t="n">
        <v>0.026</v>
      </c>
      <c r="E79" s="11" t="n">
        <v>0.015</v>
      </c>
      <c r="F79" s="13">
        <f>CHOOSE('Inputs'!$C$4,D79,C79,E79)</f>
        <v/>
      </c>
      <c r="G79" s="14" t="inlineStr">
        <is>
          <t>% p.a.</t>
        </is>
      </c>
      <c r="H79" s="5" t="inlineStr">
        <is>
          <t>Assumption: secured book below unsecured SME PD (BoE retail SME 2.6%); band seeded</t>
        </is>
      </c>
    </row>
    <row r="80">
      <c r="B80" s="10" t="inlineStr">
        <is>
          <t>Term loans — loss given default</t>
        </is>
      </c>
      <c r="C80" s="17" t="n">
        <v>0.25</v>
      </c>
      <c r="D80" s="18" t="n">
        <v>0.25</v>
      </c>
      <c r="E80" s="18" t="n">
        <v>0.25</v>
      </c>
      <c r="F80" s="19">
        <f>CHOOSE('Inputs'!$C$4,D80,C80,E80)</f>
        <v/>
      </c>
      <c r="G80" s="14" t="inlineStr">
        <is>
          <t>%</t>
        </is>
      </c>
      <c r="H80" s="5" t="inlineStr">
        <is>
          <t>Assumption: property/security-backed</t>
        </is>
      </c>
    </row>
    <row r="81">
      <c r="B81" s="10" t="inlineStr">
        <is>
          <t>Asset finance — probability of default</t>
        </is>
      </c>
      <c r="C81" s="15" t="n">
        <v>0.022</v>
      </c>
      <c r="D81" s="12" t="n">
        <v>0.022</v>
      </c>
      <c r="E81" s="12" t="n">
        <v>0.022</v>
      </c>
      <c r="F81" s="13">
        <f>CHOOSE('Inputs'!$C$4,D81,C81,E81)</f>
        <v/>
      </c>
      <c r="G81" s="14" t="inlineStr">
        <is>
          <t>% p.a.</t>
        </is>
      </c>
      <c r="H81" s="5" t="inlineStr">
        <is>
          <t>Assumption</t>
        </is>
      </c>
    </row>
    <row r="82">
      <c r="B82" s="10" t="inlineStr">
        <is>
          <t>Asset finance — loss given default</t>
        </is>
      </c>
      <c r="C82" s="17" t="n">
        <v>0.35</v>
      </c>
      <c r="D82" s="18" t="n">
        <v>0.35</v>
      </c>
      <c r="E82" s="18" t="n">
        <v>0.35</v>
      </c>
      <c r="F82" s="19">
        <f>CHOOSE('Inputs'!$C$4,D82,C82,E82)</f>
        <v/>
      </c>
      <c r="G82" s="14" t="inlineStr">
        <is>
          <t>%</t>
        </is>
      </c>
      <c r="H82" s="5" t="inlineStr">
        <is>
          <t>Assumption: recoverable assets</t>
        </is>
      </c>
    </row>
    <row r="83">
      <c r="B83" s="10" t="inlineStr">
        <is>
          <t>Invoice finance — probability of default</t>
        </is>
      </c>
      <c r="C83" s="15" t="n">
        <v>0.026</v>
      </c>
      <c r="D83" s="12" t="n">
        <v>0.026</v>
      </c>
      <c r="E83" s="12" t="n">
        <v>0.026</v>
      </c>
      <c r="F83" s="13">
        <f>CHOOSE('Inputs'!$C$4,D83,C83,E83)</f>
        <v/>
      </c>
      <c r="G83" s="14" t="inlineStr">
        <is>
          <t>% p.a.</t>
        </is>
      </c>
      <c r="H83" s="5" t="inlineStr">
        <is>
          <t>Assumption</t>
        </is>
      </c>
    </row>
    <row r="84">
      <c r="B84" s="10" t="inlineStr">
        <is>
          <t>Invoice finance — loss given default</t>
        </is>
      </c>
      <c r="C84" s="17" t="n">
        <v>0.2</v>
      </c>
      <c r="D84" s="18" t="n">
        <v>0.2</v>
      </c>
      <c r="E84" s="18" t="n">
        <v>0.2</v>
      </c>
      <c r="F84" s="19">
        <f>CHOOSE('Inputs'!$C$4,D84,C84,E84)</f>
        <v/>
      </c>
      <c r="G84" s="14" t="inlineStr">
        <is>
          <t>%</t>
        </is>
      </c>
      <c r="H84" s="5" t="inlineStr">
        <is>
          <t>Assumption: secured on receivables</t>
        </is>
      </c>
    </row>
    <row r="85">
      <c r="B85" s="10" t="inlineStr">
        <is>
          <t>Card — probability of default</t>
        </is>
      </c>
      <c r="C85" s="15" t="n">
        <v>0.035</v>
      </c>
      <c r="D85" s="12" t="n">
        <v>0.035</v>
      </c>
      <c r="E85" s="12" t="n">
        <v>0.035</v>
      </c>
      <c r="F85" s="13">
        <f>CHOOSE('Inputs'!$C$4,D85,C85,E85)</f>
        <v/>
      </c>
      <c r="G85" s="14" t="inlineStr">
        <is>
          <t>% p.a.</t>
        </is>
      </c>
      <c r="H85" s="5" t="inlineStr">
        <is>
          <t>Assumption</t>
        </is>
      </c>
    </row>
    <row r="86">
      <c r="B86" s="10" t="inlineStr">
        <is>
          <t>Card — loss given default</t>
        </is>
      </c>
      <c r="C86" s="17" t="n">
        <v>0.75</v>
      </c>
      <c r="D86" s="18" t="n">
        <v>0.75</v>
      </c>
      <c r="E86" s="18" t="n">
        <v>0.75</v>
      </c>
      <c r="F86" s="19">
        <f>CHOOSE('Inputs'!$C$4,D86,C86,E86)</f>
        <v/>
      </c>
      <c r="G86" s="14" t="inlineStr">
        <is>
          <t>%</t>
        </is>
      </c>
      <c r="H86" s="5" t="inlineStr">
        <is>
          <t>Assumption: unsecured</t>
        </is>
      </c>
    </row>
    <row r="87">
      <c r="B87" s="10" t="inlineStr">
        <is>
          <t>Overdraft — risk weight</t>
        </is>
      </c>
      <c r="C87" s="17" t="n">
        <v>0.75</v>
      </c>
      <c r="D87" s="18" t="n">
        <v>0.75</v>
      </c>
      <c r="E87" s="18" t="n">
        <v>0.75</v>
      </c>
      <c r="F87" s="19">
        <f>CHOOSE('Inputs'!$C$4,D87,C87,E87)</f>
        <v/>
      </c>
      <c r="G87" s="14" t="inlineStr">
        <is>
          <t>% of drawn</t>
        </is>
      </c>
      <c r="H87" s="5" t="inlineStr">
        <is>
          <t>Standardised retail SME treatment (approx., incl. SME support factor)</t>
        </is>
      </c>
    </row>
    <row r="88">
      <c r="B88" s="10" t="inlineStr">
        <is>
          <t>Term loans — risk weight</t>
        </is>
      </c>
      <c r="C88" s="17" t="n">
        <v>0.7</v>
      </c>
      <c r="D88" s="18" t="n">
        <v>0.7</v>
      </c>
      <c r="E88" s="18" t="n">
        <v>0.7</v>
      </c>
      <c r="F88" s="19">
        <f>CHOOSE('Inputs'!$C$4,D88,C88,E88)</f>
        <v/>
      </c>
      <c r="G88" s="14" t="inlineStr">
        <is>
          <t>%</t>
        </is>
      </c>
      <c r="H88" s="5" t="inlineStr">
        <is>
          <t>Approximation incl. SME support factor (BoE notes 15–24% RWA reduction)</t>
        </is>
      </c>
    </row>
    <row r="89">
      <c r="B89" s="10" t="inlineStr">
        <is>
          <t>Asset finance — risk weight</t>
        </is>
      </c>
      <c r="C89" s="17" t="n">
        <v>0.8</v>
      </c>
      <c r="D89" s="18" t="n">
        <v>0.8</v>
      </c>
      <c r="E89" s="18" t="n">
        <v>0.8</v>
      </c>
      <c r="F89" s="19">
        <f>CHOOSE('Inputs'!$C$4,D89,C89,E89)</f>
        <v/>
      </c>
      <c r="G89" s="14" t="inlineStr">
        <is>
          <t>%</t>
        </is>
      </c>
      <c r="H89" s="5" t="inlineStr">
        <is>
          <t>Assumption</t>
        </is>
      </c>
    </row>
    <row r="90">
      <c r="B90" s="10" t="inlineStr">
        <is>
          <t>Invoice finance — risk weight</t>
        </is>
      </c>
      <c r="C90" s="17" t="n">
        <v>0.6</v>
      </c>
      <c r="D90" s="18" t="n">
        <v>0.6</v>
      </c>
      <c r="E90" s="18" t="n">
        <v>0.6</v>
      </c>
      <c r="F90" s="19">
        <f>CHOOSE('Inputs'!$C$4,D90,C90,E90)</f>
        <v/>
      </c>
      <c r="G90" s="14" t="inlineStr">
        <is>
          <t>%</t>
        </is>
      </c>
      <c r="H90" s="5" t="inlineStr">
        <is>
          <t>Assumption</t>
        </is>
      </c>
    </row>
    <row r="91">
      <c r="B91" s="10" t="inlineStr">
        <is>
          <t>Card — risk weight</t>
        </is>
      </c>
      <c r="C91" s="17" t="n">
        <v>0.75</v>
      </c>
      <c r="D91" s="18" t="n">
        <v>0.75</v>
      </c>
      <c r="E91" s="18" t="n">
        <v>0.75</v>
      </c>
      <c r="F91" s="19">
        <f>CHOOSE('Inputs'!$C$4,D91,C91,E91)</f>
        <v/>
      </c>
      <c r="G91" s="14" t="inlineStr">
        <is>
          <t>%</t>
        </is>
      </c>
      <c r="H91" s="5" t="inlineStr">
        <is>
          <t>Assumption</t>
        </is>
      </c>
    </row>
    <row r="92">
      <c r="B92" s="10" t="inlineStr">
        <is>
          <t>Operational-risk RWA multiple of gross income</t>
        </is>
      </c>
      <c r="C92" s="35" t="n">
        <v>1.875</v>
      </c>
      <c r="D92" s="36" t="n">
        <v>1.875</v>
      </c>
      <c r="E92" s="36" t="n">
        <v>1.875</v>
      </c>
      <c r="F92" s="37">
        <f>CHOOSE('Inputs'!$C$4,D92,C92,E92)</f>
        <v/>
      </c>
      <c r="G92" s="14" t="inlineStr">
        <is>
          <t>x revenue</t>
        </is>
      </c>
      <c r="H92" s="5" t="inlineStr">
        <is>
          <t>Basel basic-indicator proxy: capital = 15% of gross income → RWA = 15% × 12.5</t>
        </is>
      </c>
    </row>
    <row r="93">
      <c r="B93" s="10" t="inlineStr">
        <is>
          <t>Equity held against RWAs (CET1 target)</t>
        </is>
      </c>
      <c r="C93" s="17" t="n">
        <v>0.14</v>
      </c>
      <c r="D93" s="23" t="n">
        <v>0.16</v>
      </c>
      <c r="E93" s="23" t="n">
        <v>0.124</v>
      </c>
      <c r="F93" s="19">
        <f>CHOOSE('Inputs'!$C$4,D93,C93,E93)</f>
        <v/>
      </c>
      <c r="G93" s="14" t="inlineStr">
        <is>
          <t>% of RWA</t>
        </is>
      </c>
      <c r="H93" s="5" t="inlineStr">
        <is>
          <t>Peers 12.4–16% (Allica 13.4, OakNorth ~16); band seeded</t>
        </is>
      </c>
    </row>
    <row r="94">
      <c r="B94" s="10" t="inlineStr">
        <is>
          <t>Cost of equity (investor required return)</t>
        </is>
      </c>
      <c r="C94" s="23" t="n">
        <v>0.12</v>
      </c>
      <c r="D94" s="23" t="n">
        <v>0.125</v>
      </c>
      <c r="E94" s="23" t="n">
        <v>0.11</v>
      </c>
      <c r="F94" s="19">
        <f>CHOOSE('Inputs'!$C$4,D94,C94,E94)</f>
        <v/>
      </c>
      <c r="G94" s="14" t="inlineStr">
        <is>
          <t>% p.a.</t>
        </is>
      </c>
      <c r="H94" s="5" t="inlineStr">
        <is>
          <t>Jefferies 2025: UK bank CoE 11–12.5%; band seeded from that range</t>
        </is>
      </c>
    </row>
    <row r="95">
      <c r="B95" s="10" t="inlineStr">
        <is>
          <t>Tax rate (corporation tax + bank surcharge)</t>
        </is>
      </c>
      <c r="C95" s="17" t="n">
        <v>0.28</v>
      </c>
      <c r="D95" s="18" t="n">
        <v>0.28</v>
      </c>
      <c r="E95" s="18" t="n">
        <v>0.28</v>
      </c>
      <c r="F95" s="19">
        <f>CHOOSE('Inputs'!$C$4,D95,C95,E95)</f>
        <v/>
      </c>
      <c r="G95" s="14" t="inlineStr">
        <is>
          <t>%</t>
        </is>
      </c>
      <c r="H95" s="5" t="inlineStr">
        <is>
          <t>25% UK corporation tax + 3% bank surcharge on profits above allowance</t>
        </is>
      </c>
    </row>
    <row r="96">
      <c r="B96" s="7" t="inlineStr">
        <is>
          <t>F. PEOPLE &amp; ACTIVITY DRIVERS (Simanis Step 2: transaction intensity I &amp; customer load L)</t>
        </is>
      </c>
      <c r="C96" s="8" t="inlineStr"/>
      <c r="D96" s="8" t="inlineStr"/>
      <c r="E96" s="8" t="inlineStr"/>
    </row>
    <row r="97">
      <c r="B97" s="9" t="inlineStr">
        <is>
          <t>Item</t>
        </is>
      </c>
      <c r="C97" s="9" t="inlineStr">
        <is>
          <t>Central</t>
        </is>
      </c>
      <c r="D97" s="9" t="inlineStr">
        <is>
          <t>Pessimistic</t>
        </is>
      </c>
      <c r="E97" s="9" t="inlineStr">
        <is>
          <t>Optimistic</t>
        </is>
      </c>
      <c r="F97" s="9" t="inlineStr">
        <is>
          <t>ACTIVE</t>
        </is>
      </c>
      <c r="G97" s="9" t="inlineStr">
        <is>
          <t>Unit</t>
        </is>
      </c>
      <c r="H97" s="9" t="inlineStr">
        <is>
          <t>Source / note</t>
        </is>
      </c>
    </row>
    <row r="98">
      <c r="B98" s="10" t="inlineStr">
        <is>
          <t>Productive hours per FTE per month</t>
        </is>
      </c>
      <c r="C98" s="20" t="n">
        <v>147</v>
      </c>
      <c r="D98" s="21" t="n">
        <v>147</v>
      </c>
      <c r="E98" s="21" t="n">
        <v>147</v>
      </c>
      <c r="F98" s="22">
        <f>CHOOSE('Inputs'!$C$4,D98,C98,E98)</f>
        <v/>
      </c>
      <c r="G98" s="14" t="inlineStr">
        <is>
          <t>hours</t>
        </is>
      </c>
      <c r="H98" s="5" t="inlineStr">
        <is>
          <t>Convention: 147 productive hours per FTE per month</t>
        </is>
      </c>
    </row>
    <row r="99">
      <c r="B99" s="10" t="inlineStr">
        <is>
          <t>Relationship manager — salary</t>
        </is>
      </c>
      <c r="C99" s="27" t="n">
        <v>65000</v>
      </c>
      <c r="D99" s="28" t="n">
        <v>65000</v>
      </c>
      <c r="E99" s="28" t="n">
        <v>65000</v>
      </c>
      <c r="F99" s="26">
        <f>CHOOSE('Inputs'!$C$4,D99,C99,E99)</f>
        <v/>
      </c>
      <c r="G99" s="14" t="inlineStr">
        <is>
          <t>£/yr</t>
        </is>
      </c>
      <c r="H99" s="5" t="inlineStr">
        <is>
          <t>Assumption: UK commercial banking RM</t>
        </is>
      </c>
    </row>
    <row r="100">
      <c r="B100" s="10" t="inlineStr">
        <is>
          <t>Credit analyst / underwriter — salary</t>
        </is>
      </c>
      <c r="C100" s="27" t="n">
        <v>55000</v>
      </c>
      <c r="D100" s="28" t="n">
        <v>55000</v>
      </c>
      <c r="E100" s="28" t="n">
        <v>55000</v>
      </c>
      <c r="F100" s="26">
        <f>CHOOSE('Inputs'!$C$4,D100,C100,E100)</f>
        <v/>
      </c>
      <c r="G100" s="14" t="inlineStr">
        <is>
          <t>£/yr</t>
        </is>
      </c>
      <c r="H100" s="5" t="inlineStr">
        <is>
          <t>Assumption</t>
        </is>
      </c>
    </row>
    <row r="101">
      <c r="B101" s="10" t="inlineStr">
        <is>
          <t>Service &amp; operations staff — salary</t>
        </is>
      </c>
      <c r="C101" s="27" t="n">
        <v>32000</v>
      </c>
      <c r="D101" s="28" t="n">
        <v>32000</v>
      </c>
      <c r="E101" s="28" t="n">
        <v>32000</v>
      </c>
      <c r="F101" s="26">
        <f>CHOOSE('Inputs'!$C$4,D101,C101,E101)</f>
        <v/>
      </c>
      <c r="G101" s="14" t="inlineStr">
        <is>
          <t>£/yr</t>
        </is>
      </c>
      <c r="H101" s="5" t="inlineStr">
        <is>
          <t>Assumption</t>
        </is>
      </c>
    </row>
    <row r="102">
      <c r="B102" s="10" t="inlineStr">
        <is>
          <t>Team manager — salary</t>
        </is>
      </c>
      <c r="C102" s="27" t="n">
        <v>85000</v>
      </c>
      <c r="D102" s="28" t="n">
        <v>85000</v>
      </c>
      <c r="E102" s="28" t="n">
        <v>85000</v>
      </c>
      <c r="F102" s="26">
        <f>CHOOSE('Inputs'!$C$4,D102,C102,E102)</f>
        <v/>
      </c>
      <c r="G102" s="14" t="inlineStr">
        <is>
          <t>£/yr</t>
        </is>
      </c>
      <c r="H102" s="5" t="inlineStr">
        <is>
          <t>Assumption</t>
        </is>
      </c>
    </row>
    <row r="103">
      <c r="B103" s="10" t="inlineStr">
        <is>
          <t>Employment on-costs (NI, pension, benefits)</t>
        </is>
      </c>
      <c r="C103" s="17" t="n">
        <v>0.15</v>
      </c>
      <c r="D103" s="18" t="n">
        <v>0.15</v>
      </c>
      <c r="E103" s="18" t="n">
        <v>0.15</v>
      </c>
      <c r="F103" s="19">
        <f>CHOOSE('Inputs'!$C$4,D103,C103,E103)</f>
        <v/>
      </c>
      <c r="G103" s="14" t="inlineStr">
        <is>
          <t>% of salary</t>
        </is>
      </c>
      <c r="H103" s="5" t="inlineStr">
        <is>
          <t>Assumption: UK employer on-costs</t>
        </is>
      </c>
    </row>
    <row r="104">
      <c r="B104" s="10" t="inlineStr">
        <is>
          <t>Management span (staff per manager)</t>
        </is>
      </c>
      <c r="C104" s="20" t="n">
        <v>8</v>
      </c>
      <c r="D104" s="21" t="n">
        <v>8</v>
      </c>
      <c r="E104" s="21" t="n">
        <v>8</v>
      </c>
      <c r="F104" s="22">
        <f>CHOOSE('Inputs'!$C$4,D104,C104,E104)</f>
        <v/>
      </c>
      <c r="G104" s="14" t="inlineStr">
        <is>
          <t>staff</t>
        </is>
      </c>
      <c r="H104" s="5" t="inlineStr">
        <is>
          <t>Assumption</t>
        </is>
      </c>
    </row>
    <row r="105">
      <c r="B105" s="10" t="inlineStr">
        <is>
          <t>Onboarding a new customer (KYC/AML + setup)</t>
        </is>
      </c>
      <c r="C105" s="38" t="n">
        <v>2.5</v>
      </c>
      <c r="D105" s="30" t="n">
        <v>2.5</v>
      </c>
      <c r="E105" s="30" t="n">
        <v>2.5</v>
      </c>
      <c r="F105" s="31">
        <f>CHOOSE('Inputs'!$C$4,D105,C105,E105)</f>
        <v/>
      </c>
      <c r="G105" s="14" t="inlineStr">
        <is>
          <t>hrs/new customer</t>
        </is>
      </c>
      <c r="H105" s="5" t="inlineStr">
        <is>
          <t>Assumption</t>
        </is>
      </c>
    </row>
    <row r="106">
      <c r="B106" s="10" t="inlineStr">
        <is>
          <t>BCA servicing (queries, payments support)</t>
        </is>
      </c>
      <c r="C106" s="38" t="n">
        <v>0.6</v>
      </c>
      <c r="D106" s="30" t="n">
        <v>0.6</v>
      </c>
      <c r="E106" s="30" t="n">
        <v>0.6</v>
      </c>
      <c r="F106" s="31">
        <f>CHOOSE('Inputs'!$C$4,D106,C106,E106)</f>
        <v/>
      </c>
      <c r="G106" s="14" t="inlineStr">
        <is>
          <t>hrs/account/yr</t>
        </is>
      </c>
      <c r="H106" s="5" t="inlineStr">
        <is>
          <t>Assumption</t>
        </is>
      </c>
    </row>
    <row r="107">
      <c r="B107" s="10" t="inlineStr">
        <is>
          <t>Savings account servicing</t>
        </is>
      </c>
      <c r="C107" s="29" t="n">
        <v>0.2</v>
      </c>
      <c r="D107" s="30" t="n">
        <v>0.2</v>
      </c>
      <c r="E107" s="30" t="n">
        <v>0.2</v>
      </c>
      <c r="F107" s="31">
        <f>CHOOSE('Inputs'!$C$4,D107,C107,E107)</f>
        <v/>
      </c>
      <c r="G107" s="14" t="inlineStr">
        <is>
          <t>hrs/account/yr</t>
        </is>
      </c>
      <c r="H107" s="5" t="inlineStr">
        <is>
          <t>Assumption</t>
        </is>
      </c>
    </row>
    <row r="108">
      <c r="B108" s="10" t="inlineStr">
        <is>
          <t>Deposit account servicing</t>
        </is>
      </c>
      <c r="C108" s="29" t="n">
        <v>0.2</v>
      </c>
      <c r="D108" s="30" t="n">
        <v>0.2</v>
      </c>
      <c r="E108" s="30" t="n">
        <v>0.2</v>
      </c>
      <c r="F108" s="31">
        <f>CHOOSE('Inputs'!$C$4,D108,C108,E108)</f>
        <v/>
      </c>
      <c r="G108" s="14" t="inlineStr">
        <is>
          <t>hrs/account/yr</t>
        </is>
      </c>
      <c r="H108" s="5" t="inlineStr">
        <is>
          <t>Assumption</t>
        </is>
      </c>
    </row>
    <row r="109">
      <c r="B109" s="10" t="inlineStr">
        <is>
          <t>Overdraft annual review &amp; renewal</t>
        </is>
      </c>
      <c r="C109" s="29" t="n">
        <v>1.5</v>
      </c>
      <c r="D109" s="30" t="n">
        <v>1.5</v>
      </c>
      <c r="E109" s="30" t="n">
        <v>1.5</v>
      </c>
      <c r="F109" s="31">
        <f>CHOOSE('Inputs'!$C$4,D109,C109,E109)</f>
        <v/>
      </c>
      <c r="G109" s="14" t="inlineStr">
        <is>
          <t>hrs/facility/yr</t>
        </is>
      </c>
      <c r="H109" s="5" t="inlineStr">
        <is>
          <t>Assumption</t>
        </is>
      </c>
    </row>
    <row r="110">
      <c r="B110" s="10" t="inlineStr">
        <is>
          <t>Term loan underwriting &amp; completion</t>
        </is>
      </c>
      <c r="C110" s="38" t="n">
        <v>14</v>
      </c>
      <c r="D110" s="30" t="n">
        <v>14</v>
      </c>
      <c r="E110" s="30" t="n">
        <v>14</v>
      </c>
      <c r="F110" s="31">
        <f>CHOOSE('Inputs'!$C$4,D110,C110,E110)</f>
        <v/>
      </c>
      <c r="G110" s="14" t="inlineStr">
        <is>
          <t>hrs/new loan</t>
        </is>
      </c>
      <c r="H110" s="5" t="inlineStr">
        <is>
          <t>Assumption: manual SME underwriting (BoE: costs incurred per borrower, not per £ lent)</t>
        </is>
      </c>
    </row>
    <row r="111">
      <c r="B111" s="10" t="inlineStr">
        <is>
          <t>Term loan annual review</t>
        </is>
      </c>
      <c r="C111" s="29" t="n">
        <v>3</v>
      </c>
      <c r="D111" s="30" t="n">
        <v>3</v>
      </c>
      <c r="E111" s="30" t="n">
        <v>3</v>
      </c>
      <c r="F111" s="31">
        <f>CHOOSE('Inputs'!$C$4,D111,C111,E111)</f>
        <v/>
      </c>
      <c r="G111" s="14" t="inlineStr">
        <is>
          <t>hrs/loan/yr</t>
        </is>
      </c>
      <c r="H111" s="5" t="inlineStr">
        <is>
          <t>Assumption</t>
        </is>
      </c>
    </row>
    <row r="112">
      <c r="B112" s="10" t="inlineStr">
        <is>
          <t>Asset finance origination</t>
        </is>
      </c>
      <c r="C112" s="29" t="n">
        <v>4</v>
      </c>
      <c r="D112" s="30" t="n">
        <v>4</v>
      </c>
      <c r="E112" s="30" t="n">
        <v>4</v>
      </c>
      <c r="F112" s="31">
        <f>CHOOSE('Inputs'!$C$4,D112,C112,E112)</f>
        <v/>
      </c>
      <c r="G112" s="14" t="inlineStr">
        <is>
          <t>hrs/new agreement</t>
        </is>
      </c>
      <c r="H112" s="5" t="inlineStr">
        <is>
          <t>Assumption: more automated than term loans</t>
        </is>
      </c>
    </row>
    <row r="113">
      <c r="B113" s="10" t="inlineStr">
        <is>
          <t>Invoice finance client onboarding</t>
        </is>
      </c>
      <c r="C113" s="29" t="n">
        <v>12</v>
      </c>
      <c r="D113" s="30" t="n">
        <v>12</v>
      </c>
      <c r="E113" s="30" t="n">
        <v>12</v>
      </c>
      <c r="F113" s="31">
        <f>CHOOSE('Inputs'!$C$4,D113,C113,E113)</f>
        <v/>
      </c>
      <c r="G113" s="14" t="inlineStr">
        <is>
          <t>hrs/new client</t>
        </is>
      </c>
      <c r="H113" s="5" t="inlineStr">
        <is>
          <t>Assumption: debtor book audit &amp; setup</t>
        </is>
      </c>
    </row>
    <row r="114">
      <c r="B114" s="10" t="inlineStr">
        <is>
          <t>Invoice finance monthly monitoring</t>
        </is>
      </c>
      <c r="C114" s="35" t="n">
        <v>0.75</v>
      </c>
      <c r="D114" s="36" t="n">
        <v>0.75</v>
      </c>
      <c r="E114" s="36" t="n">
        <v>0.75</v>
      </c>
      <c r="F114" s="37">
        <f>CHOOSE('Inputs'!$C$4,D114,C114,E114)</f>
        <v/>
      </c>
      <c r="G114" s="14" t="inlineStr">
        <is>
          <t>hrs/client/month</t>
        </is>
      </c>
      <c r="H114" s="5" t="inlineStr">
        <is>
          <t>Assumption: reconciliations &amp; debtor reviews</t>
        </is>
      </c>
    </row>
    <row r="115">
      <c r="B115" s="10" t="inlineStr">
        <is>
          <t>Card servicing</t>
        </is>
      </c>
      <c r="C115" s="35" t="n">
        <v>0.15</v>
      </c>
      <c r="D115" s="36" t="n">
        <v>0.15</v>
      </c>
      <c r="E115" s="36" t="n">
        <v>0.15</v>
      </c>
      <c r="F115" s="37">
        <f>CHOOSE('Inputs'!$C$4,D115,C115,E115)</f>
        <v/>
      </c>
      <c r="G115" s="14" t="inlineStr">
        <is>
          <t>hrs/card/yr</t>
        </is>
      </c>
      <c r="H115" s="5" t="inlineStr">
        <is>
          <t>Assumption</t>
        </is>
      </c>
    </row>
    <row r="116">
      <c r="B116" s="10" t="inlineStr">
        <is>
          <t>Payments &amp; FX support</t>
        </is>
      </c>
      <c r="C116" s="29" t="n">
        <v>0.2</v>
      </c>
      <c r="D116" s="30" t="n">
        <v>0.2</v>
      </c>
      <c r="E116" s="30" t="n">
        <v>0.2</v>
      </c>
      <c r="F116" s="31">
        <f>CHOOSE('Inputs'!$C$4,D116,C116,E116)</f>
        <v/>
      </c>
      <c r="G116" s="14" t="inlineStr">
        <is>
          <t>hrs/user/yr</t>
        </is>
      </c>
      <c r="H116" s="5" t="inlineStr">
        <is>
          <t>Assumption</t>
        </is>
      </c>
    </row>
    <row r="117">
      <c r="B117" s="10" t="inlineStr">
        <is>
          <t>Share of credit facilities entering collections p.a.</t>
        </is>
      </c>
      <c r="C117" s="17" t="n">
        <v>0.05</v>
      </c>
      <c r="D117" s="18" t="n">
        <v>0.05</v>
      </c>
      <c r="E117" s="18" t="n">
        <v>0.05</v>
      </c>
      <c r="F117" s="19">
        <f>CHOOSE('Inputs'!$C$4,D117,C117,E117)</f>
        <v/>
      </c>
      <c r="G117" s="14" t="inlineStr">
        <is>
          <t>%</t>
        </is>
      </c>
      <c r="H117" s="5" t="inlineStr">
        <is>
          <t>Assumption</t>
        </is>
      </c>
    </row>
    <row r="118">
      <c r="B118" s="10" t="inlineStr">
        <is>
          <t>Activity-cost band — low factor</t>
        </is>
      </c>
      <c r="C118" s="35" t="n">
        <v>0.8</v>
      </c>
      <c r="D118" s="36" t="n">
        <v>0.8</v>
      </c>
      <c r="E118" s="36" t="n">
        <v>0.8</v>
      </c>
      <c r="F118" s="37">
        <f>CHOOSE('Inputs'!$C$4,D118,C118,E118)</f>
        <v/>
      </c>
      <c r="G118" s="14" t="inlineStr">
        <is>
          <t>x central</t>
        </is>
      </c>
      <c r="H118" s="5" t="inlineStr">
        <is>
          <t>Default range on activity costs pending evidence; replace with evidenced per-activity bands (IVE TPM discipline)</t>
        </is>
      </c>
    </row>
    <row r="119">
      <c r="B119" s="10" t="inlineStr">
        <is>
          <t>Activity-cost band — high factor</t>
        </is>
      </c>
      <c r="C119" s="39" t="n">
        <v>1.3</v>
      </c>
      <c r="D119" s="36" t="n">
        <v>1.3</v>
      </c>
      <c r="E119" s="36" t="n">
        <v>1.3</v>
      </c>
      <c r="F119" s="37">
        <f>CHOOSE('Inputs'!$C$4,D119,C119,E119)</f>
        <v/>
      </c>
      <c r="G119" s="14" t="inlineStr">
        <is>
          <t>x central</t>
        </is>
      </c>
      <c r="H119" s="5" t="inlineStr">
        <is>
          <t>High side wider than low: activity times overrun more often than they underrun</t>
        </is>
      </c>
    </row>
    <row r="120">
      <c r="B120" s="10" t="inlineStr">
        <is>
          <t>Collections handling</t>
        </is>
      </c>
      <c r="C120" s="29" t="n">
        <v>4</v>
      </c>
      <c r="D120" s="30" t="n">
        <v>4</v>
      </c>
      <c r="E120" s="30" t="n">
        <v>4</v>
      </c>
      <c r="F120" s="31">
        <f>CHOOSE('Inputs'!$C$4,D120,C120,E120)</f>
        <v/>
      </c>
      <c r="G120" s="14" t="inlineStr">
        <is>
          <t>hrs/case</t>
        </is>
      </c>
      <c r="H120" s="5" t="inlineStr">
        <is>
          <t>Assumption</t>
        </is>
      </c>
    </row>
    <row r="121">
      <c r="B121" s="10" t="inlineStr">
        <is>
          <t>Collateral administration &amp; monitoring</t>
        </is>
      </c>
      <c r="C121" s="29" t="n">
        <v>1</v>
      </c>
      <c r="D121" s="30" t="n">
        <v>1</v>
      </c>
      <c r="E121" s="30" t="n">
        <v>1</v>
      </c>
      <c r="F121" s="31">
        <f>CHOOSE('Inputs'!$C$4,D121,C121,E121)</f>
        <v/>
      </c>
      <c r="G121" s="14" t="inlineStr">
        <is>
          <t>hrs/secured facility/yr</t>
        </is>
      </c>
      <c r="H121" s="5" t="inlineStr">
        <is>
          <t>Assumption: charge registration, valuations, security monitoring on secured lending</t>
        </is>
      </c>
    </row>
    <row r="122">
      <c r="B122" s="10" t="inlineStr">
        <is>
          <t>Recoveries &amp; workout (defaulted secured facilities)</t>
        </is>
      </c>
      <c r="C122" s="29" t="n">
        <v>8</v>
      </c>
      <c r="D122" s="30" t="n">
        <v>8</v>
      </c>
      <c r="E122" s="30" t="n">
        <v>8</v>
      </c>
      <c r="F122" s="31">
        <f>CHOOSE('Inputs'!$C$4,D122,C122,E122)</f>
        <v/>
      </c>
      <c r="G122" s="14" t="inlineStr">
        <is>
          <t>hrs/case</t>
        </is>
      </c>
      <c r="H122" s="5" t="inlineStr">
        <is>
          <t>Assumption: specialist recoveries beyond routine collections</t>
        </is>
      </c>
    </row>
    <row r="123">
      <c r="B123" s="7" t="inlineStr">
        <is>
          <t>G. OVERHEADS &amp; HEAD-OFFICE ALLOCATION</t>
        </is>
      </c>
      <c r="C123" s="8" t="inlineStr"/>
      <c r="D123" s="8" t="inlineStr"/>
      <c r="E123" s="8" t="inlineStr"/>
    </row>
    <row r="124">
      <c r="B124" s="9" t="inlineStr">
        <is>
          <t>Item</t>
        </is>
      </c>
      <c r="C124" s="9" t="inlineStr">
        <is>
          <t>Central</t>
        </is>
      </c>
      <c r="D124" s="9" t="inlineStr">
        <is>
          <t>Pessimistic</t>
        </is>
      </c>
      <c r="E124" s="9" t="inlineStr">
        <is>
          <t>Optimistic</t>
        </is>
      </c>
      <c r="F124" s="9" t="inlineStr">
        <is>
          <t>ACTIVE</t>
        </is>
      </c>
      <c r="G124" s="9" t="inlineStr">
        <is>
          <t>Unit</t>
        </is>
      </c>
      <c r="H124" s="9" t="inlineStr">
        <is>
          <t>Source / note</t>
        </is>
      </c>
    </row>
    <row r="125">
      <c r="B125" s="10" t="inlineStr">
        <is>
          <t>Premises &amp; facilities per unit FTE</t>
        </is>
      </c>
      <c r="C125" s="27" t="n">
        <v>6000</v>
      </c>
      <c r="D125" s="28" t="n">
        <v>6000</v>
      </c>
      <c r="E125" s="28" t="n">
        <v>6000</v>
      </c>
      <c r="F125" s="26">
        <f>CHOOSE('Inputs'!$C$4,D125,C125,E125)</f>
        <v/>
      </c>
      <c r="G125" s="14" t="inlineStr">
        <is>
          <t>£/FTE/yr</t>
        </is>
      </c>
      <c r="H125" s="5" t="inlineStr">
        <is>
          <t>Assumption: regional office cost</t>
        </is>
      </c>
    </row>
    <row r="126">
      <c r="B126" s="10" t="inlineStr">
        <is>
          <t>Equipment &amp; fit-out depreciation per unit FTE</t>
        </is>
      </c>
      <c r="C126" s="27" t="n">
        <v>1200</v>
      </c>
      <c r="D126" s="28" t="n">
        <v>1200</v>
      </c>
      <c r="E126" s="28" t="n">
        <v>1200</v>
      </c>
      <c r="F126" s="26">
        <f>CHOOSE('Inputs'!$C$4,D126,C126,E126)</f>
        <v/>
      </c>
      <c r="G126" s="14" t="inlineStr">
        <is>
          <t>£/FTE/yr</t>
        </is>
      </c>
      <c r="H126" s="5" t="inlineStr">
        <is>
          <t>Assumption</t>
        </is>
      </c>
    </row>
    <row r="127">
      <c r="B127" s="10" t="inlineStr">
        <is>
          <t>Other direct running costs (travel, training, sundry)</t>
        </is>
      </c>
      <c r="C127" s="17" t="n">
        <v>0.05</v>
      </c>
      <c r="D127" s="18" t="n">
        <v>0.05</v>
      </c>
      <c r="E127" s="18" t="n">
        <v>0.05</v>
      </c>
      <c r="F127" s="19">
        <f>CHOOSE('Inputs'!$C$4,D127,C127,E127)</f>
        <v/>
      </c>
      <c r="G127" s="14" t="inlineStr">
        <is>
          <t>% of unit HR cost</t>
        </is>
      </c>
      <c r="H127" s="5" t="inlineStr">
        <is>
          <t>Assumption</t>
        </is>
      </c>
    </row>
    <row r="128">
      <c r="B128" s="10" t="inlineStr">
        <is>
          <t>Unit-level platform &amp; processing cost</t>
        </is>
      </c>
      <c r="C128" s="27" t="n">
        <v>60</v>
      </c>
      <c r="D128" s="28" t="n">
        <v>60</v>
      </c>
      <c r="E128" s="28" t="n">
        <v>60</v>
      </c>
      <c r="F128" s="26">
        <f>CHOOSE('Inputs'!$C$4,D128,C128,E128)</f>
        <v/>
      </c>
      <c r="G128" s="14" t="inlineStr">
        <is>
          <t>£/customer/yr</t>
        </is>
      </c>
      <c r="H128" s="5" t="inlineStr">
        <is>
          <t>Assumption: per-account core banking &amp; payment processing</t>
        </is>
      </c>
    </row>
    <row r="129">
      <c r="B129" s="10" t="inlineStr">
        <is>
          <t>Head office: technology &amp; central operations</t>
        </is>
      </c>
      <c r="C129" s="25" t="n">
        <v>450</v>
      </c>
      <c r="D129" s="25" t="n">
        <v>550</v>
      </c>
      <c r="E129" s="25" t="n">
        <v>380</v>
      </c>
      <c r="F129" s="26">
        <f>CHOOSE('Inputs'!$C$4,D129,C129,E129)</f>
        <v/>
      </c>
      <c r="G129" s="14" t="inlineStr">
        <is>
          <t>£/customer/yr</t>
        </is>
      </c>
      <c r="H129" s="5" t="inlineStr">
        <is>
          <t>Assumption: allocated share of core banking, digital channels, payments infrastructure; banded</t>
        </is>
      </c>
    </row>
    <row r="130">
      <c r="B130" s="10" t="inlineStr">
        <is>
          <t>Head office: risk, compliance, financial crime, audit</t>
        </is>
      </c>
      <c r="C130" s="25" t="n">
        <v>250</v>
      </c>
      <c r="D130" s="28" t="n">
        <v>250</v>
      </c>
      <c r="E130" s="28" t="n">
        <v>250</v>
      </c>
      <c r="F130" s="26">
        <f>CHOOSE('Inputs'!$C$4,D130,C130,E130)</f>
        <v/>
      </c>
      <c r="G130" s="14" t="inlineStr">
        <is>
          <t>£/customer/yr</t>
        </is>
      </c>
      <c r="H130" s="5" t="inlineStr">
        <is>
          <t>Assumption</t>
        </is>
      </c>
    </row>
    <row r="131">
      <c r="B131" s="10" t="inlineStr">
        <is>
          <t>Head office: finance, HR, exec, brand &amp; marketing</t>
        </is>
      </c>
      <c r="C131" s="25" t="n">
        <v>250</v>
      </c>
      <c r="D131" s="28" t="n">
        <v>250</v>
      </c>
      <c r="E131" s="28" t="n">
        <v>250</v>
      </c>
      <c r="F131" s="26">
        <f>CHOOSE('Inputs'!$C$4,D131,C131,E131)</f>
        <v/>
      </c>
      <c r="G131" s="14" t="inlineStr">
        <is>
          <t>£/customer/yr</t>
        </is>
      </c>
      <c r="H131" s="5" t="inlineStr">
        <is>
          <t>Assumption: HQ lines calibrated so cost:income ratio lands ~40–50% (specialist SME banks: OakNorth ~26%, Allica ~50%, majors' business banking 50%+)</t>
        </is>
      </c>
    </row>
    <row r="132">
      <c r="B132" s="7" t="inlineStr">
        <is>
          <t>G2. DRIVER-BASED ATTRIBUTION OF HEAD-OFFICE POOLS (ABC to the causality limit)</t>
        </is>
      </c>
      <c r="C132" s="8" t="inlineStr"/>
      <c r="D132" s="8" t="inlineStr"/>
      <c r="E132" s="8" t="inlineStr"/>
    </row>
    <row r="133">
      <c r="B133" s="9" t="inlineStr">
        <is>
          <t>Item</t>
        </is>
      </c>
      <c r="C133" s="9" t="inlineStr">
        <is>
          <t>Central</t>
        </is>
      </c>
      <c r="D133" s="9" t="inlineStr">
        <is>
          <t>Pessimistic</t>
        </is>
      </c>
      <c r="E133" s="9" t="inlineStr">
        <is>
          <t>Optimistic</t>
        </is>
      </c>
      <c r="F133" s="9" t="inlineStr">
        <is>
          <t>ACTIVE</t>
        </is>
      </c>
      <c r="G133" s="9" t="inlineStr">
        <is>
          <t>Unit</t>
        </is>
      </c>
      <c r="H133" s="9" t="inlineStr">
        <is>
          <t>Source / note</t>
        </is>
      </c>
    </row>
    <row r="134">
      <c r="B134" s="10" t="inlineStr">
        <is>
          <t>KYC &amp; financial crime — cost per new-customer onboarding</t>
        </is>
      </c>
      <c r="C134" s="27" t="n">
        <v>150</v>
      </c>
      <c r="D134" s="28" t="n">
        <v>150</v>
      </c>
      <c r="E134" s="28" t="n">
        <v>150</v>
      </c>
      <c r="F134" s="26">
        <f>CHOOSE('Inputs'!$C$4,D134,C134,E134)</f>
        <v/>
      </c>
      <c r="G134" s="14" t="inlineStr">
        <is>
          <t>£/new customer</t>
        </is>
      </c>
      <c r="H134" s="5" t="inlineStr">
        <is>
          <t>Driver: onboardings. Attributed from the risk pool; per source methodology, costs are linked to the customer base 'whenever possible' (Simanis IFC Technical Doc, Part II)</t>
        </is>
      </c>
    </row>
    <row r="135">
      <c r="B135" s="10" t="inlineStr">
        <is>
          <t>KYC refresh &amp; ongoing screening — cost per customer</t>
        </is>
      </c>
      <c r="C135" s="27" t="n">
        <v>60</v>
      </c>
      <c r="D135" s="28" t="n">
        <v>60</v>
      </c>
      <c r="E135" s="28" t="n">
        <v>60</v>
      </c>
      <c r="F135" s="26">
        <f>CHOOSE('Inputs'!$C$4,D135,C135,E135)</f>
        <v/>
      </c>
      <c r="G135" s="14" t="inlineStr">
        <is>
          <t>£/customer/yr</t>
        </is>
      </c>
      <c r="H135" s="5" t="inlineStr">
        <is>
          <t>Driver: customers. Attributed from the risk pool</t>
        </is>
      </c>
    </row>
    <row r="136">
      <c r="B136" s="10" t="inlineStr">
        <is>
          <t>Payments operations &amp; processing — cost per current account</t>
        </is>
      </c>
      <c r="C136" s="27" t="n">
        <v>120</v>
      </c>
      <c r="D136" s="28" t="n">
        <v>120</v>
      </c>
      <c r="E136" s="28" t="n">
        <v>120</v>
      </c>
      <c r="F136" s="26">
        <f>CHOOSE('Inputs'!$C$4,D136,C136,E136)</f>
        <v/>
      </c>
      <c r="G136" s="14" t="inlineStr">
        <is>
          <t>£/BCA/yr</t>
        </is>
      </c>
      <c r="H136" s="5" t="inlineStr">
        <is>
          <t>Driver: current accounts (the transaction-carrying product). Attributed from the tech pool</t>
        </is>
      </c>
    </row>
    <row r="137">
      <c r="B137" s="10" t="inlineStr">
        <is>
          <t>Core banking system — cost per account of any type</t>
        </is>
      </c>
      <c r="C137" s="27" t="n">
        <v>30</v>
      </c>
      <c r="D137" s="28" t="n">
        <v>30</v>
      </c>
      <c r="E137" s="28" t="n">
        <v>30</v>
      </c>
      <c r="F137" s="26">
        <f>CHOOSE('Inputs'!$C$4,D137,C137,E137)</f>
        <v/>
      </c>
      <c r="G137" s="14" t="inlineStr">
        <is>
          <t>£/account/yr</t>
        </is>
      </c>
      <c r="H137" s="5" t="inlineStr">
        <is>
          <t>Driver: accounts on the ledger. Attributed from the tech pool</t>
        </is>
      </c>
    </row>
    <row r="138">
      <c r="B138" s="10" t="inlineStr">
        <is>
          <t>Credit systems &amp; portfolio monitoring — cost per credit facility</t>
        </is>
      </c>
      <c r="C138" s="27" t="n">
        <v>180</v>
      </c>
      <c r="D138" s="28" t="n">
        <v>180</v>
      </c>
      <c r="E138" s="28" t="n">
        <v>180</v>
      </c>
      <c r="F138" s="26">
        <f>CHOOSE('Inputs'!$C$4,D138,C138,E138)</f>
        <v/>
      </c>
      <c r="G138" s="14" t="inlineStr">
        <is>
          <t>£/facility/yr</t>
        </is>
      </c>
      <c r="H138" s="5" t="inlineStr">
        <is>
          <t>Driver: live credit facilities. Attributed from the tech pool</t>
        </is>
      </c>
    </row>
    <row r="139">
      <c r="B139" s="7" t="inlineStr">
        <is>
          <t>G3. ADDITIONAL COSTS — FRAUD, LEVIES, CHANGE (the lines unit models often omit)</t>
        </is>
      </c>
      <c r="C139" s="8" t="inlineStr"/>
      <c r="D139" s="8" t="inlineStr"/>
      <c r="E139" s="8" t="inlineStr"/>
    </row>
    <row r="140">
      <c r="B140" s="9" t="inlineStr">
        <is>
          <t>Item</t>
        </is>
      </c>
      <c r="C140" s="9" t="inlineStr">
        <is>
          <t>Central</t>
        </is>
      </c>
      <c r="D140" s="9" t="inlineStr">
        <is>
          <t>Pessimistic</t>
        </is>
      </c>
      <c r="E140" s="9" t="inlineStr">
        <is>
          <t>Optimistic</t>
        </is>
      </c>
      <c r="F140" s="9" t="inlineStr">
        <is>
          <t>ACTIVE</t>
        </is>
      </c>
      <c r="G140" s="9" t="inlineStr">
        <is>
          <t>Unit</t>
        </is>
      </c>
      <c r="H140" s="9" t="inlineStr">
        <is>
          <t>Source / note</t>
        </is>
      </c>
    </row>
    <row r="141">
      <c r="B141" s="10" t="inlineStr">
        <is>
          <t>Fraud &amp; payment losses (incl. APP reimbursement) per current account</t>
        </is>
      </c>
      <c r="C141" s="25" t="n">
        <v>45</v>
      </c>
      <c r="D141" s="28" t="n">
        <v>45</v>
      </c>
      <c r="E141" s="28" t="n">
        <v>45</v>
      </c>
      <c r="F141" s="26">
        <f>CHOOSE('Inputs'!$C$4,D141,C141,E141)</f>
        <v/>
      </c>
      <c r="G141" s="14" t="inlineStr">
        <is>
          <t>£/BCA/yr</t>
        </is>
      </c>
      <c r="H141" s="5" t="inlineStr">
        <is>
          <t>Assumption: net fraud losses incl. mandatory APP scam reimbursement (PSR rules, 2024+); driver = current accounts</t>
        </is>
      </c>
    </row>
    <row r="142">
      <c r="B142" s="10" t="inlineStr">
        <is>
          <t>FSCS deposit-protection levy</t>
        </is>
      </c>
      <c r="C142" s="15" t="n">
        <v>0.0005999999999999999</v>
      </c>
      <c r="D142" s="12" t="n">
        <v>0.0005999999999999999</v>
      </c>
      <c r="E142" s="12" t="n">
        <v>0.0005999999999999999</v>
      </c>
      <c r="F142" s="13">
        <f>CHOOSE('Inputs'!$C$4,D142,C142,E142)</f>
        <v/>
      </c>
      <c r="G142" s="14" t="inlineStr">
        <is>
          <t>% of protected deposits</t>
        </is>
      </c>
      <c r="H142" s="5" t="inlineStr">
        <is>
          <t>Assumption: Financial Services Compensation Scheme levy, charged on protected deposit balances</t>
        </is>
      </c>
    </row>
    <row r="143">
      <c r="B143" s="10" t="inlineStr">
        <is>
          <t>Share of deposit balances that are FSCS-protected</t>
        </is>
      </c>
      <c r="C143" s="17" t="n">
        <v>0.6</v>
      </c>
      <c r="D143" s="18" t="n">
        <v>0.6</v>
      </c>
      <c r="E143" s="18" t="n">
        <v>0.6</v>
      </c>
      <c r="F143" s="19">
        <f>CHOOSE('Inputs'!$C$4,D143,C143,E143)</f>
        <v/>
      </c>
      <c r="G143" s="14" t="inlineStr">
        <is>
          <t>%</t>
        </is>
      </c>
      <c r="H143" s="5" t="inlineStr">
        <is>
          <t>Assumption: FSCS protects up to £85k per depositor; SME balances partly exceed the cap</t>
        </is>
      </c>
    </row>
    <row r="144">
      <c r="B144" s="10" t="inlineStr">
        <is>
          <t>Change-the-bank / transformation spend per customer</t>
        </is>
      </c>
      <c r="C144" s="25" t="n">
        <v>120</v>
      </c>
      <c r="D144" s="28" t="n">
        <v>120</v>
      </c>
      <c r="E144" s="28" t="n">
        <v>120</v>
      </c>
      <c r="F144" s="26">
        <f>CHOOSE('Inputs'!$C$4,D144,C144,E144)</f>
        <v/>
      </c>
      <c r="G144" s="14" t="inlineStr">
        <is>
          <t>£/customer/yr</t>
        </is>
      </c>
      <c r="H144" s="5" t="inlineStr">
        <is>
          <t>Assumption: ongoing regulatory change + tech transformation, ~10–20% of a bank cost base; held as a portfolio hurdle, not attributed to products</t>
        </is>
      </c>
    </row>
    <row r="145">
      <c r="B145" s="7" t="inlineStr">
        <is>
          <t>G4. SEGMENT GRANULARITY — share of each product's units held by RM-MANAGED customers</t>
        </is>
      </c>
      <c r="C145" s="8" t="inlineStr"/>
      <c r="D145" s="8" t="inlineStr"/>
      <c r="E145" s="8" t="inlineStr"/>
    </row>
    <row r="146">
      <c r="B146" s="9" t="inlineStr">
        <is>
          <t>Item</t>
        </is>
      </c>
      <c r="C146" s="9" t="inlineStr">
        <is>
          <t>Central</t>
        </is>
      </c>
      <c r="D146" s="9" t="inlineStr">
        <is>
          <t>Pessimistic</t>
        </is>
      </c>
      <c r="E146" s="9" t="inlineStr">
        <is>
          <t>Optimistic</t>
        </is>
      </c>
      <c r="F146" s="9" t="inlineStr">
        <is>
          <t>ACTIVE</t>
        </is>
      </c>
      <c r="G146" s="9" t="inlineStr">
        <is>
          <t>Unit</t>
        </is>
      </c>
      <c r="H146" s="9" t="inlineStr">
        <is>
          <t>Source / note</t>
        </is>
      </c>
    </row>
    <row r="147">
      <c r="B147" s="10" t="inlineStr">
        <is>
          <t>Current accounts — RM-held share</t>
        </is>
      </c>
      <c r="C147" s="17" t="n">
        <v>0.15</v>
      </c>
      <c r="D147" s="18" t="n">
        <v>0.15</v>
      </c>
      <c r="E147" s="18" t="n">
        <v>0.15</v>
      </c>
      <c r="F147" s="19">
        <f>CHOOSE('Inputs'!$C$4,D147,C147,E147)</f>
        <v/>
      </c>
      <c r="G147" s="14" t="inlineStr">
        <is>
          <t>%</t>
        </is>
      </c>
      <c r="H147" s="5" t="inlineStr">
        <is>
          <t>Equals pct_rm (every customer holds a BCA). Scenario dimension: shift with channel moves</t>
        </is>
      </c>
    </row>
    <row r="148">
      <c r="B148" s="10" t="inlineStr">
        <is>
          <t>Instant savings — RM-held share</t>
        </is>
      </c>
      <c r="C148" s="17" t="n">
        <v>0.2</v>
      </c>
      <c r="D148" s="18" t="n">
        <v>0.2</v>
      </c>
      <c r="E148" s="18" t="n">
        <v>0.2</v>
      </c>
      <c r="F148" s="19">
        <f>CHOOSE('Inputs'!$C$4,D148,C148,E148)</f>
        <v/>
      </c>
      <c r="G148" s="14" t="inlineStr">
        <is>
          <t>%</t>
        </is>
      </c>
      <c r="H148" s="5" t="inlineStr">
        <is>
          <t>Assumption — for scenario building; validate from segment data</t>
        </is>
      </c>
    </row>
    <row r="149">
      <c r="B149" s="10" t="inlineStr">
        <is>
          <t>Notice &amp; fixed deposits — RM-held share</t>
        </is>
      </c>
      <c r="C149" s="17" t="n">
        <v>0.3</v>
      </c>
      <c r="D149" s="18" t="n">
        <v>0.3</v>
      </c>
      <c r="E149" s="18" t="n">
        <v>0.3</v>
      </c>
      <c r="F149" s="19">
        <f>CHOOSE('Inputs'!$C$4,D149,C149,E149)</f>
        <v/>
      </c>
      <c r="G149" s="14" t="inlineStr">
        <is>
          <t>%</t>
        </is>
      </c>
      <c r="H149" s="5" t="inlineStr">
        <is>
          <t>Assumption</t>
        </is>
      </c>
    </row>
    <row r="150">
      <c r="B150" s="10" t="inlineStr">
        <is>
          <t>Overdrafts — RM-held share</t>
        </is>
      </c>
      <c r="C150" s="17" t="n">
        <v>0.4</v>
      </c>
      <c r="D150" s="18" t="n">
        <v>0.4</v>
      </c>
      <c r="E150" s="18" t="n">
        <v>0.4</v>
      </c>
      <c r="F150" s="19">
        <f>CHOOSE('Inputs'!$C$4,D150,C150,E150)</f>
        <v/>
      </c>
      <c r="G150" s="14" t="inlineStr">
        <is>
          <t>%</t>
        </is>
      </c>
      <c r="H150" s="5" t="inlineStr">
        <is>
          <t>Assumption</t>
        </is>
      </c>
    </row>
    <row r="151">
      <c r="B151" s="10" t="inlineStr">
        <is>
          <t>Term loans — RM-held share</t>
        </is>
      </c>
      <c r="C151" s="17" t="n">
        <v>0.6</v>
      </c>
      <c r="D151" s="18" t="n">
        <v>0.6</v>
      </c>
      <c r="E151" s="18" t="n">
        <v>0.6</v>
      </c>
      <c r="F151" s="19">
        <f>CHOOSE('Inputs'!$C$4,D151,C151,E151)</f>
        <v/>
      </c>
      <c r="G151" s="14" t="inlineStr">
        <is>
          <t>%</t>
        </is>
      </c>
      <c r="H151" s="5" t="inlineStr">
        <is>
          <t>Consistent with rm_lend_share (RM customers are the larger borrowers)</t>
        </is>
      </c>
    </row>
    <row r="152">
      <c r="B152" s="10" t="inlineStr">
        <is>
          <t>Asset finance — RM-held share</t>
        </is>
      </c>
      <c r="C152" s="17" t="n">
        <v>0.6</v>
      </c>
      <c r="D152" s="18" t="n">
        <v>0.6</v>
      </c>
      <c r="E152" s="18" t="n">
        <v>0.6</v>
      </c>
      <c r="F152" s="19">
        <f>CHOOSE('Inputs'!$C$4,D152,C152,E152)</f>
        <v/>
      </c>
      <c r="G152" s="14" t="inlineStr">
        <is>
          <t>%</t>
        </is>
      </c>
      <c r="H152" s="5" t="inlineStr">
        <is>
          <t>Assumption</t>
        </is>
      </c>
    </row>
    <row r="153">
      <c r="B153" s="10" t="inlineStr">
        <is>
          <t>Invoice finance — RM-held share</t>
        </is>
      </c>
      <c r="C153" s="17" t="n">
        <v>0.7</v>
      </c>
      <c r="D153" s="18" t="n">
        <v>0.7</v>
      </c>
      <c r="E153" s="18" t="n">
        <v>0.7</v>
      </c>
      <c r="F153" s="19">
        <f>CHOOSE('Inputs'!$C$4,D153,C153,E153)</f>
        <v/>
      </c>
      <c r="G153" s="14" t="inlineStr">
        <is>
          <t>%</t>
        </is>
      </c>
      <c r="H153" s="5" t="inlineStr">
        <is>
          <t>Assumption — consultative product</t>
        </is>
      </c>
    </row>
    <row r="154">
      <c r="B154" s="10" t="inlineStr">
        <is>
          <t>Business cards — RM-held share</t>
        </is>
      </c>
      <c r="C154" s="17" t="n">
        <v>0.2</v>
      </c>
      <c r="D154" s="18" t="n">
        <v>0.2</v>
      </c>
      <c r="E154" s="18" t="n">
        <v>0.2</v>
      </c>
      <c r="F154" s="19">
        <f>CHOOSE('Inputs'!$C$4,D154,C154,E154)</f>
        <v/>
      </c>
      <c r="G154" s="14" t="inlineStr">
        <is>
          <t>%</t>
        </is>
      </c>
      <c r="H154" s="5" t="inlineStr">
        <is>
          <t>Assumption</t>
        </is>
      </c>
    </row>
    <row r="155">
      <c r="B155" s="10" t="inlineStr">
        <is>
          <t>Payments &amp; FX users — RM-held share</t>
        </is>
      </c>
      <c r="C155" s="17" t="n">
        <v>0.4</v>
      </c>
      <c r="D155" s="18" t="n">
        <v>0.4</v>
      </c>
      <c r="E155" s="18" t="n">
        <v>0.4</v>
      </c>
      <c r="F155" s="19">
        <f>CHOOSE('Inputs'!$C$4,D155,C155,E155)</f>
        <v/>
      </c>
      <c r="G155" s="14" t="inlineStr">
        <is>
          <t>%</t>
        </is>
      </c>
      <c r="H155" s="5" t="inlineStr">
        <is>
          <t>Assumption</t>
        </is>
      </c>
    </row>
    <row r="156">
      <c r="B156" s="7" t="inlineStr">
        <is>
          <t>H. RM SALES EFFORT PER ORIGINATION (RMs are a sales force, not a service cost)</t>
        </is>
      </c>
      <c r="C156" s="8" t="inlineStr"/>
      <c r="D156" s="8" t="inlineStr"/>
      <c r="E156" s="8" t="inlineStr"/>
    </row>
    <row r="157">
      <c r="B157" s="9" t="inlineStr">
        <is>
          <t>Item</t>
        </is>
      </c>
      <c r="C157" s="9" t="inlineStr">
        <is>
          <t>Central</t>
        </is>
      </c>
      <c r="D157" s="9" t="inlineStr">
        <is>
          <t>Pessimistic</t>
        </is>
      </c>
      <c r="E157" s="9" t="inlineStr">
        <is>
          <t>Optimistic</t>
        </is>
      </c>
      <c r="F157" s="9" t="inlineStr">
        <is>
          <t>ACTIVE</t>
        </is>
      </c>
      <c r="G157" s="9" t="inlineStr">
        <is>
          <t>Unit</t>
        </is>
      </c>
      <c r="H157" s="9" t="inlineStr">
        <is>
          <t>Source / note</t>
        </is>
      </c>
    </row>
    <row r="158">
      <c r="B158" s="10" t="inlineStr">
        <is>
          <t>Relative RM effort — per new term loan</t>
        </is>
      </c>
      <c r="C158" s="35" t="n">
        <v>1</v>
      </c>
      <c r="D158" s="36" t="n">
        <v>1</v>
      </c>
      <c r="E158" s="36" t="n">
        <v>1</v>
      </c>
      <c r="F158" s="37">
        <f>CHOOSE('Inputs'!$C$4,D158,C158,E158)</f>
        <v/>
      </c>
      <c r="G158" s="14" t="inlineStr">
        <is>
          <t>index</t>
        </is>
      </c>
      <c r="H158" s="5" t="inlineStr">
        <is>
          <t>Assumption: RM cost is customer-acquisition cost, attributed per origination by relative effort</t>
        </is>
      </c>
    </row>
    <row r="159">
      <c r="B159" s="10" t="inlineStr">
        <is>
          <t>Relative RM effort — per new asset finance agreement</t>
        </is>
      </c>
      <c r="C159" s="35" t="n">
        <v>0.5</v>
      </c>
      <c r="D159" s="36" t="n">
        <v>0.5</v>
      </c>
      <c r="E159" s="36" t="n">
        <v>0.5</v>
      </c>
      <c r="F159" s="37">
        <f>CHOOSE('Inputs'!$C$4,D159,C159,E159)</f>
        <v/>
      </c>
      <c r="G159" s="14" t="inlineStr">
        <is>
          <t>index</t>
        </is>
      </c>
      <c r="H159" s="5" t="inlineStr">
        <is>
          <t>Assumption: more automated sale</t>
        </is>
      </c>
    </row>
    <row r="160">
      <c r="B160" s="10" t="inlineStr">
        <is>
          <t>Relative RM effort — per new invoice finance client</t>
        </is>
      </c>
      <c r="C160" s="35" t="n">
        <v>1.5</v>
      </c>
      <c r="D160" s="36" t="n">
        <v>1.5</v>
      </c>
      <c r="E160" s="36" t="n">
        <v>1.5</v>
      </c>
      <c r="F160" s="37">
        <f>CHOOSE('Inputs'!$C$4,D160,C160,E160)</f>
        <v/>
      </c>
      <c r="G160" s="14" t="inlineStr">
        <is>
          <t>index</t>
        </is>
      </c>
      <c r="H160" s="5" t="inlineStr">
        <is>
          <t>Assumption: complex, consultative sale</t>
        </is>
      </c>
    </row>
    <row r="161">
      <c r="B161" s="10" t="inlineStr">
        <is>
          <t>Relative RM effort — per overdraft renewal</t>
        </is>
      </c>
      <c r="C161" s="39" t="n">
        <v>0.25</v>
      </c>
      <c r="D161" s="36" t="n">
        <v>0.25</v>
      </c>
      <c r="E161" s="36" t="n">
        <v>0.25</v>
      </c>
      <c r="F161" s="37">
        <f>CHOOSE('Inputs'!$C$4,D161,C161,E161)</f>
        <v/>
      </c>
      <c r="G161" s="14" t="inlineStr">
        <is>
          <t>index</t>
        </is>
      </c>
      <c r="H161" s="5" t="inlineStr">
        <is>
          <t>Assumption: annual renewals; a key automation lever</t>
        </is>
      </c>
    </row>
    <row r="162">
      <c r="B162" s="10" t="inlineStr">
        <is>
          <t>RM time — ORIGINATE (sales, attributed per origination)</t>
        </is>
      </c>
      <c r="C162" s="17" t="n">
        <v>0.5</v>
      </c>
      <c r="D162" s="18" t="n">
        <v>0.5</v>
      </c>
      <c r="E162" s="18" t="n">
        <v>0.5</v>
      </c>
      <c r="F162" s="19">
        <f>CHOOSE('Inputs'!$C$4,D162,C162,E162)</f>
        <v/>
      </c>
      <c r="G162" s="14" t="inlineStr">
        <is>
          <t>% of RM time</t>
        </is>
      </c>
      <c r="H162" s="5" t="inlineStr">
        <is>
          <t>The three RM activities work as a system: stewardship generates the signals origination targets; origination builds the book stewardship protects; defence preserves the relationships that carry future originations</t>
        </is>
      </c>
    </row>
    <row r="163">
      <c r="B163" s="10" t="inlineStr">
        <is>
          <t>RM time — STEWARD (credit stewardship of the covered book)</t>
        </is>
      </c>
      <c r="C163" s="17" t="n">
        <v>0.3</v>
      </c>
      <c r="D163" s="18" t="n">
        <v>0.3</v>
      </c>
      <c r="E163" s="18" t="n">
        <v>0.3</v>
      </c>
      <c r="F163" s="19">
        <f>CHOOSE('Inputs'!$C$4,D163,C163,E163)</f>
        <v/>
      </c>
      <c r="G163" s="14" t="inlineStr">
        <is>
          <t>% of RM time</t>
        </is>
      </c>
      <c r="H163" s="5" t="inlineStr">
        <is>
          <t>Attributed to lending products pro-rata covered balances; pays back through lower PDs</t>
        </is>
      </c>
    </row>
    <row r="164">
      <c r="B164" s="10" t="inlineStr">
        <is>
          <t>RM time — DEFEND (retention at contested moments)</t>
        </is>
      </c>
      <c r="C164" s="17" t="n">
        <v>0.2</v>
      </c>
      <c r="D164" s="18" t="n">
        <v>0.2</v>
      </c>
      <c r="E164" s="18" t="n">
        <v>0.2</v>
      </c>
      <c r="F164" s="19">
        <f>CHOOSE('Inputs'!$C$4,D164,C164,E164)</f>
        <v/>
      </c>
      <c r="G164" s="14" t="inlineStr">
        <is>
          <t>% of RM time</t>
        </is>
      </c>
      <c r="H164" s="5" t="inlineStr">
        <is>
          <t>Held at centre level as tested retention spend — the three shares must sum to 100%</t>
        </is>
      </c>
    </row>
    <row r="165">
      <c r="B165" s="10" t="inlineStr">
        <is>
          <t>Share of lending balances held by RM-managed customers</t>
        </is>
      </c>
      <c r="C165" s="17" t="n">
        <v>0.6</v>
      </c>
      <c r="D165" s="18" t="n">
        <v>0.6</v>
      </c>
      <c r="E165" s="18" t="n">
        <v>0.6</v>
      </c>
      <c r="F165" s="19">
        <f>CHOOSE('Inputs'!$C$4,D165,C165,E165)</f>
        <v/>
      </c>
      <c r="G165" s="14" t="inlineStr">
        <is>
          <t>%</t>
        </is>
      </c>
      <c r="H165" s="5" t="inlineStr">
        <is>
          <t>Assumption: RM-managed customers are the larger borrowers</t>
        </is>
      </c>
    </row>
    <row r="166">
      <c r="B166" s="10" t="inlineStr">
        <is>
          <t>Stewardship effect: relative PD reduction on RM-covered balances</t>
        </is>
      </c>
      <c r="C166" s="23" t="n">
        <v>0.2</v>
      </c>
      <c r="D166" s="18" t="n">
        <v>0.2</v>
      </c>
      <c r="E166" s="18" t="n">
        <v>0.2</v>
      </c>
      <c r="F166" s="19">
        <f>CHOOSE('Inputs'!$C$4,D166,C166,E166)</f>
        <v/>
      </c>
      <c r="G166" s="14" t="inlineStr">
        <is>
          <t>%</t>
        </is>
      </c>
      <c r="H166" s="5" t="inlineStr">
        <is>
          <t>Relationship-lending evidence: soft information and early warning lower default rates; validate against covered vs uncovered book performance</t>
        </is>
      </c>
    </row>
    <row r="167">
      <c r="B167" s="10" t="inlineStr">
        <is>
          <t>Defence effect: relative churn reduction among RM-managed customers</t>
        </is>
      </c>
      <c r="C167" s="23" t="n">
        <v>0.25</v>
      </c>
      <c r="D167" s="18" t="n">
        <v>0.25</v>
      </c>
      <c r="E167" s="18" t="n">
        <v>0.25</v>
      </c>
      <c r="F167" s="19">
        <f>CHOOSE('Inputs'!$C$4,D167,C167,E167)</f>
        <v/>
      </c>
      <c r="G167" s="14" t="inlineStr">
        <is>
          <t>%</t>
        </is>
      </c>
      <c r="H167" s="5" t="inlineStr">
        <is>
          <t>Must be validated with holdout tests — pay only for incremental saves</t>
        </is>
      </c>
    </row>
    <row r="168">
      <c r="B168" s="10" t="inlineStr">
        <is>
          <t>Expected remaining relationship life of a defended customer</t>
        </is>
      </c>
      <c r="C168" s="20" t="n">
        <v>5</v>
      </c>
      <c r="D168" s="21" t="n">
        <v>5</v>
      </c>
      <c r="E168" s="21" t="n">
        <v>5</v>
      </c>
      <c r="F168" s="22">
        <f>CHOOSE('Inputs'!$C$4,D168,C168,E168)</f>
        <v/>
      </c>
      <c r="G168" s="14" t="inlineStr">
        <is>
          <t>years</t>
        </is>
      </c>
      <c r="H168" s="5" t="inlineStr">
        <is>
          <t>A saved customer is an annuity, not one year of contribution</t>
        </is>
      </c>
    </row>
    <row r="169">
      <c r="B169" s="7" t="inlineStr">
        <is>
          <t>I. ORGANISATION AT SCALE (drives the Org Structure tab)</t>
        </is>
      </c>
      <c r="C169" s="8" t="inlineStr"/>
      <c r="D169" s="8" t="inlineStr"/>
      <c r="E169" s="8" t="inlineStr"/>
    </row>
    <row r="170">
      <c r="B170" s="9" t="inlineStr">
        <is>
          <t>Item</t>
        </is>
      </c>
      <c r="C170" s="9" t="inlineStr">
        <is>
          <t>Central</t>
        </is>
      </c>
      <c r="D170" s="9" t="inlineStr">
        <is>
          <t>Pessimistic</t>
        </is>
      </c>
      <c r="E170" s="9" t="inlineStr">
        <is>
          <t>Optimistic</t>
        </is>
      </c>
      <c r="F170" s="9" t="inlineStr">
        <is>
          <t>ACTIVE</t>
        </is>
      </c>
      <c r="G170" s="9" t="inlineStr">
        <is>
          <t>Unit</t>
        </is>
      </c>
      <c r="H170" s="9" t="inlineStr">
        <is>
          <t>Source / note</t>
        </is>
      </c>
    </row>
    <row r="171">
      <c r="B171" s="10" t="inlineStr">
        <is>
          <t>Regional business centres at scale</t>
        </is>
      </c>
      <c r="C171" s="24" t="n">
        <v>300</v>
      </c>
      <c r="D171" s="21" t="n">
        <v>300</v>
      </c>
      <c r="E171" s="21" t="n">
        <v>300</v>
      </c>
      <c r="F171" s="22">
        <f>CHOOSE('Inputs'!$C$4,D171,C171,E171)</f>
        <v/>
      </c>
      <c r="G171" s="14" t="inlineStr">
        <is>
          <t>centres</t>
        </is>
      </c>
      <c r="H171" s="5" t="inlineStr">
        <is>
          <t>Set for 900,000 current-account customers (300 × 3,000). Note: per-customer head-office allocations are held flat — conservative, as central costs per customer typically fall at this scale</t>
        </is>
      </c>
    </row>
    <row r="172">
      <c r="B172" s="10" t="inlineStr">
        <is>
          <t>Technology &amp; central ops — staff share of allocated cost</t>
        </is>
      </c>
      <c r="C172" s="17" t="n">
        <v>0.55</v>
      </c>
      <c r="D172" s="18" t="n">
        <v>0.55</v>
      </c>
      <c r="E172" s="18" t="n">
        <v>0.55</v>
      </c>
      <c r="F172" s="19">
        <f>CHOOSE('Inputs'!$C$4,D172,C172,E172)</f>
        <v/>
      </c>
      <c r="G172" s="14" t="inlineStr">
        <is>
          <t>%</t>
        </is>
      </c>
      <c r="H172" s="5" t="inlineStr">
        <is>
          <t>Assumption: remainder is software licences, hosting, card scheme &amp; processing fees</t>
        </is>
      </c>
    </row>
    <row r="173">
      <c r="B173" s="10" t="inlineStr">
        <is>
          <t>Technology &amp; central ops — average loaded cost per FTE</t>
        </is>
      </c>
      <c r="C173" s="27" t="n">
        <v>80000</v>
      </c>
      <c r="D173" s="28" t="n">
        <v>80000</v>
      </c>
      <c r="E173" s="28" t="n">
        <v>80000</v>
      </c>
      <c r="F173" s="26">
        <f>CHOOSE('Inputs'!$C$4,D173,C173,E173)</f>
        <v/>
      </c>
      <c r="G173" s="14" t="inlineStr">
        <is>
          <t>£/FTE/yr</t>
        </is>
      </c>
      <c r="H173" s="5" t="inlineStr">
        <is>
          <t>Assumption: salary + on-costs (tech roles skew senior)</t>
        </is>
      </c>
    </row>
    <row r="174">
      <c r="B174" s="10" t="inlineStr">
        <is>
          <t>Risk, compliance &amp; audit — staff share of allocated cost</t>
        </is>
      </c>
      <c r="C174" s="17" t="n">
        <v>0.75</v>
      </c>
      <c r="D174" s="18" t="n">
        <v>0.75</v>
      </c>
      <c r="E174" s="18" t="n">
        <v>0.75</v>
      </c>
      <c r="F174" s="19">
        <f>CHOOSE('Inputs'!$C$4,D174,C174,E174)</f>
        <v/>
      </c>
      <c r="G174" s="14" t="inlineStr">
        <is>
          <t>%</t>
        </is>
      </c>
      <c r="H174" s="5" t="inlineStr">
        <is>
          <t>Assumption: remainder is data, tools, professional fees</t>
        </is>
      </c>
    </row>
    <row r="175">
      <c r="B175" s="10" t="inlineStr">
        <is>
          <t>Risk, compliance &amp; audit — average loaded cost per FTE</t>
        </is>
      </c>
      <c r="C175" s="27" t="n">
        <v>75000</v>
      </c>
      <c r="D175" s="28" t="n">
        <v>75000</v>
      </c>
      <c r="E175" s="28" t="n">
        <v>75000</v>
      </c>
      <c r="F175" s="26">
        <f>CHOOSE('Inputs'!$C$4,D175,C175,E175)</f>
        <v/>
      </c>
      <c r="G175" s="14" t="inlineStr">
        <is>
          <t>£/FTE/yr</t>
        </is>
      </c>
      <c r="H175" s="5" t="inlineStr">
        <is>
          <t>Assumption</t>
        </is>
      </c>
    </row>
    <row r="176">
      <c r="B176" s="10" t="inlineStr">
        <is>
          <t>Corporate centre — staff share of allocated cost</t>
        </is>
      </c>
      <c r="C176" s="17" t="n">
        <v>0.6</v>
      </c>
      <c r="D176" s="18" t="n">
        <v>0.6</v>
      </c>
      <c r="E176" s="18" t="n">
        <v>0.6</v>
      </c>
      <c r="F176" s="19">
        <f>CHOOSE('Inputs'!$C$4,D176,C176,E176)</f>
        <v/>
      </c>
      <c r="G176" s="14" t="inlineStr">
        <is>
          <t>%</t>
        </is>
      </c>
      <c r="H176" s="5" t="inlineStr">
        <is>
          <t>Assumption: remainder is brand &amp; media spend, audit &amp; professional fees, facilities</t>
        </is>
      </c>
    </row>
    <row r="177">
      <c r="B177" s="10" t="inlineStr">
        <is>
          <t>Corporate centre — average loaded cost per FTE</t>
        </is>
      </c>
      <c r="C177" s="27" t="n">
        <v>75000</v>
      </c>
      <c r="D177" s="28" t="n">
        <v>75000</v>
      </c>
      <c r="E177" s="28" t="n">
        <v>75000</v>
      </c>
      <c r="F177" s="26">
        <f>CHOOSE('Inputs'!$C$4,D177,C177,E177)</f>
        <v/>
      </c>
      <c r="G177" s="14" t="inlineStr">
        <is>
          <t>£/FTE/yr</t>
        </is>
      </c>
      <c r="H177" s="5" t="inlineStr">
        <is>
          <t>Assumption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I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44" customWidth="1" min="2" max="2"/>
    <col width="14" customWidth="1" min="3" max="3"/>
    <col width="16" customWidth="1" min="4" max="4"/>
    <col width="16" customWidth="1" min="5" max="5"/>
    <col width="60" customWidth="1" min="6" max="6"/>
  </cols>
  <sheetData>
    <row r="1">
      <c r="B1" s="1" t="inlineStr">
        <is>
          <t>STEP 1 — BOUNDING THE OPERATING UNIT</t>
        </is>
      </c>
    </row>
    <row r="2" ht="40" customHeight="1">
      <c r="B2" s="5" t="inlineStr">
        <is>
          <t>SME banks organise by CUSTOMER SEGMENT, not geography (Simanis: digital offerings bound the LMU by 'a defined customer segment'). The operational LMUs are segment pods — relationship pods and digital service pods (Org tab, 'Segment pods'). This tab models a 1/300 slice of the national book purely for unit economics; the slice is a modelling construct, not the operating unit.</t>
        </is>
      </c>
    </row>
    <row r="4">
      <c r="B4" s="40" t="inlineStr">
        <is>
          <t>Customers at steady state (R × P)</t>
        </is>
      </c>
      <c r="C4" s="41">
        <f>'Inputs'!$F$21*'Inputs'!$F$22</f>
        <v/>
      </c>
      <c r="E4" s="14" t="inlineStr">
        <is>
          <t>Reachable market × steady-state penetration</t>
        </is>
      </c>
    </row>
    <row r="5">
      <c r="B5" s="10" t="inlineStr">
        <is>
          <t>…of which relationship-managed</t>
        </is>
      </c>
      <c r="C5" s="42">
        <f>'1. Customers'!$C$4*'Inputs'!$F$24</f>
        <v/>
      </c>
    </row>
    <row r="6">
      <c r="B6" s="10" t="inlineStr">
        <is>
          <t>Customers lost per year before RM defence (gross churn)</t>
        </is>
      </c>
      <c r="C6" s="42">
        <f>'1. Customers'!$C$4*'Inputs'!$F$23</f>
        <v/>
      </c>
    </row>
    <row r="7">
      <c r="B7" s="10" t="inlineStr">
        <is>
          <t>…customers defended by RM retention activity</t>
        </is>
      </c>
      <c r="C7" s="42">
        <f>'1. Customers'!$C$5*'Inputs'!$F$23*'Inputs'!$F$167</f>
        <v/>
      </c>
      <c r="E7" s="14" t="inlineStr">
        <is>
          <t>RM-managed churn × defence effect (validate with holdouts)</t>
        </is>
      </c>
    </row>
    <row r="8">
      <c r="B8" s="40" t="inlineStr">
        <is>
          <t>New customers onboarded per year (net churn replacement)</t>
        </is>
      </c>
      <c r="C8" s="22">
        <f>'1. Customers'!$C$6-'1. Customers'!$C$7</f>
        <v/>
      </c>
      <c r="E8" s="14" t="inlineStr">
        <is>
          <t>Drives onboarding workload and KYC costs</t>
        </is>
      </c>
    </row>
    <row r="10">
      <c r="B10" s="7" t="inlineStr">
        <is>
          <t>PRODUCT VOLUMES &amp; BALANCES</t>
        </is>
      </c>
      <c r="C10" s="8" t="inlineStr"/>
      <c r="D10" s="8" t="inlineStr"/>
      <c r="E10" s="8" t="inlineStr"/>
      <c r="F10" s="8" t="inlineStr"/>
    </row>
    <row r="11">
      <c r="B11" s="43" t="inlineStr">
        <is>
          <t>Product</t>
        </is>
      </c>
      <c r="C11" s="43" t="inlineStr">
        <is>
          <t>Units (accounts / facilities)</t>
        </is>
      </c>
      <c r="D11" s="43" t="inlineStr">
        <is>
          <t>Avg balance per unit (£)</t>
        </is>
      </c>
      <c r="E11" s="43" t="inlineStr">
        <is>
          <t>Total balances (£)</t>
        </is>
      </c>
      <c r="F11" s="43" t="inlineStr">
        <is>
          <t>Note</t>
        </is>
      </c>
      <c r="G11" s="9" t="inlineStr">
        <is>
          <t>RM-held units</t>
        </is>
      </c>
      <c r="H11" s="9" t="inlineStr">
        <is>
          <t>Digitally-held units</t>
        </is>
      </c>
      <c r="I11" s="14" t="inlineStr">
        <is>
          <t>(segment granularity — scenario dimension)</t>
        </is>
      </c>
    </row>
    <row r="12">
      <c r="B12" s="10" t="inlineStr">
        <is>
          <t>Business current accounts</t>
        </is>
      </c>
      <c r="C12" s="42">
        <f>'1. Customers'!$C$4*'Inputs'!$F$30</f>
        <v/>
      </c>
      <c r="D12" s="44">
        <f>'Inputs'!$F$31</f>
        <v/>
      </c>
      <c r="E12" s="44">
        <f>C12*D12</f>
        <v/>
      </c>
      <c r="F12" s="14" t="inlineStr">
        <is>
          <t>Credit balances held by customers</t>
        </is>
      </c>
      <c r="G12" s="42">
        <f>C12*'Inputs'!$F$147</f>
        <v/>
      </c>
      <c r="H12" s="42">
        <f>C12-G12</f>
        <v/>
      </c>
    </row>
    <row r="13">
      <c r="B13" s="10" t="inlineStr">
        <is>
          <t>Instant-access savings</t>
        </is>
      </c>
      <c r="C13" s="42">
        <f>'1. Customers'!$C$4*'Inputs'!$F$32</f>
        <v/>
      </c>
      <c r="D13" s="44">
        <f>'Inputs'!$F$33</f>
        <v/>
      </c>
      <c r="E13" s="44">
        <f>C13*D13</f>
        <v/>
      </c>
      <c r="F13" s="14" t="inlineStr"/>
      <c r="G13" s="42">
        <f>C13*'Inputs'!$F$148</f>
        <v/>
      </c>
      <c r="H13" s="42">
        <f>C13-G13</f>
        <v/>
      </c>
    </row>
    <row r="14">
      <c r="B14" s="10" t="inlineStr">
        <is>
          <t>Notice &amp; fixed deposits</t>
        </is>
      </c>
      <c r="C14" s="42">
        <f>'1. Customers'!$C$4*'Inputs'!$F$34</f>
        <v/>
      </c>
      <c r="D14" s="44">
        <f>'Inputs'!$F$35</f>
        <v/>
      </c>
      <c r="E14" s="44">
        <f>C14*D14</f>
        <v/>
      </c>
      <c r="F14" s="14" t="inlineStr"/>
      <c r="G14" s="42">
        <f>C14*'Inputs'!$F$149</f>
        <v/>
      </c>
      <c r="H14" s="42">
        <f>C14-G14</f>
        <v/>
      </c>
    </row>
    <row r="15">
      <c r="B15" s="10" t="inlineStr">
        <is>
          <t>Business overdrafts</t>
        </is>
      </c>
      <c r="C15" s="42">
        <f>'1. Customers'!$C$4*'Inputs'!$F$36</f>
        <v/>
      </c>
      <c r="D15" s="44">
        <f>'Inputs'!$F$37*'Inputs'!$F$38</f>
        <v/>
      </c>
      <c r="E15" s="44">
        <f>C15*D15</f>
        <v/>
      </c>
      <c r="F15" s="14" t="inlineStr">
        <is>
          <t>Balance = limit × utilisation (drawn)</t>
        </is>
      </c>
      <c r="G15" s="42">
        <f>C15*'Inputs'!$F$150</f>
        <v/>
      </c>
      <c r="H15" s="42">
        <f>C15-G15</f>
        <v/>
      </c>
    </row>
    <row r="16">
      <c r="B16" s="10" t="inlineStr">
        <is>
          <t>Term loans &amp; comm. mortgages</t>
        </is>
      </c>
      <c r="C16" s="42">
        <f>'1. Customers'!$C$4*'Inputs'!$F$39</f>
        <v/>
      </c>
      <c r="D16" s="44">
        <f>'Inputs'!$F$40</f>
        <v/>
      </c>
      <c r="E16" s="44">
        <f>C16*D16</f>
        <v/>
      </c>
      <c r="F16" s="14" t="inlineStr"/>
      <c r="G16" s="42">
        <f>C16*'Inputs'!$F$151</f>
        <v/>
      </c>
      <c r="H16" s="42">
        <f>C16-G16</f>
        <v/>
      </c>
    </row>
    <row r="17">
      <c r="B17" s="10" t="inlineStr">
        <is>
          <t>Asset finance</t>
        </is>
      </c>
      <c r="C17" s="42">
        <f>'1. Customers'!$C$4*'Inputs'!$F$42</f>
        <v/>
      </c>
      <c r="D17" s="44">
        <f>'Inputs'!$F$43</f>
        <v/>
      </c>
      <c r="E17" s="44">
        <f>C17*D17</f>
        <v/>
      </c>
      <c r="F17" s="14" t="inlineStr"/>
      <c r="G17" s="42">
        <f>C17*'Inputs'!$F$152</f>
        <v/>
      </c>
      <c r="H17" s="42">
        <f>C17-G17</f>
        <v/>
      </c>
    </row>
    <row r="18">
      <c r="B18" s="10" t="inlineStr">
        <is>
          <t>Invoice finance</t>
        </is>
      </c>
      <c r="C18" s="42">
        <f>'1. Customers'!$C$4*'Inputs'!$F$45</f>
        <v/>
      </c>
      <c r="D18" s="44">
        <f>'Inputs'!$F$46</f>
        <v/>
      </c>
      <c r="E18" s="44">
        <f>C18*D18</f>
        <v/>
      </c>
      <c r="F18" s="14" t="inlineStr">
        <is>
          <t>Funds in use (advances outstanding)</t>
        </is>
      </c>
      <c r="G18" s="42">
        <f>C18*'Inputs'!$F$153</f>
        <v/>
      </c>
      <c r="H18" s="42">
        <f>C18-G18</f>
        <v/>
      </c>
    </row>
    <row r="19">
      <c r="B19" s="10" t="inlineStr">
        <is>
          <t>Business credit cards</t>
        </is>
      </c>
      <c r="C19" s="42">
        <f>'1. Customers'!$C$4*'Inputs'!$F$49</f>
        <v/>
      </c>
      <c r="D19" s="44">
        <f>'Inputs'!$F$52*'Inputs'!$F$51</f>
        <v/>
      </c>
      <c r="E19" s="44">
        <f>C19*D19</f>
        <v/>
      </c>
      <c r="F19" s="14" t="inlineStr">
        <is>
          <t>Avg interest-bearing balance per card</t>
        </is>
      </c>
      <c r="G19" s="42">
        <f>C19*'Inputs'!$F$154</f>
        <v/>
      </c>
      <c r="H19" s="42">
        <f>C19-G19</f>
        <v/>
      </c>
    </row>
    <row r="20">
      <c r="B20" s="10" t="inlineStr">
        <is>
          <t>Payments &amp; FX (service users)</t>
        </is>
      </c>
      <c r="C20" s="42">
        <f>'1. Customers'!$C$4*'Inputs'!$F$53</f>
        <v/>
      </c>
      <c r="D20" s="44">
        <f>0</f>
        <v/>
      </c>
      <c r="E20" s="44">
        <f>C20*D20</f>
        <v/>
      </c>
      <c r="F20" s="14" t="inlineStr">
        <is>
          <t>No balance product</t>
        </is>
      </c>
      <c r="G20" s="42">
        <f>C20*'Inputs'!$F$155</f>
        <v/>
      </c>
      <c r="H20" s="42">
        <f>C20-G20</f>
        <v/>
      </c>
    </row>
    <row r="21">
      <c r="B21" s="40" t="inlineStr">
        <is>
          <t>Total customer deposits</t>
        </is>
      </c>
      <c r="C21" s="10" t="inlineStr"/>
      <c r="E21" s="45">
        <f>'1. Customers'!$E$12+'1. Customers'!$E$13+'1. Customers'!$E$14</f>
        <v/>
      </c>
    </row>
    <row r="22">
      <c r="B22" s="40" t="inlineStr">
        <is>
          <t>Total lending balances</t>
        </is>
      </c>
      <c r="E22" s="45">
        <f>'1. Customers'!$E$15+'1. Customers'!$E$16+'1. Customers'!$E$17+'1. Customers'!$E$18+'1. Customers'!$E$19</f>
        <v/>
      </c>
    </row>
    <row r="23">
      <c r="D23" s="46">
        <f>'1. Customers'!$E$22/'1. Customers'!$E$21</f>
        <v/>
      </c>
      <c r="E23" s="14" t="inlineStr">
        <is>
          <t>Loan-to-deposit ratio:</t>
        </is>
      </c>
    </row>
    <row r="24">
      <c r="B24" s="40" t="inlineStr">
        <is>
          <t>Total accounts on ledger (all products excl. FX users)</t>
        </is>
      </c>
      <c r="C24" s="22">
        <f>'1. Customers'!$C$12+'1. Customers'!$C$13+'1. Customers'!$C$14+'1. Customers'!$C$15+'1. Customers'!$C$16+'1. Customers'!$C$17+'1. Customers'!$C$18+'1. Customers'!$C$19</f>
        <v/>
      </c>
      <c r="E24" s="14" t="inlineStr">
        <is>
          <t>Driver for core banking system cost</t>
        </is>
      </c>
    </row>
    <row r="25">
      <c r="B25" s="40" t="inlineStr">
        <is>
          <t>Total live credit facilities</t>
        </is>
      </c>
      <c r="C25" s="22">
        <f>'1. Customers'!$C$15+'1. Customers'!$C$16+'1. Customers'!$C$17+'1. Customers'!$C$18+'1. Customers'!$C$19</f>
        <v/>
      </c>
      <c r="E25" s="14" t="inlineStr">
        <is>
          <t>Driver for credit systems &amp; monitoring cost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M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34" customWidth="1" min="2" max="2"/>
    <col width="10" customWidth="1" min="3" max="3"/>
    <col width="13" customWidth="1" min="4" max="4"/>
    <col width="10" customWidth="1" min="5" max="5"/>
    <col width="10" customWidth="1" min="6" max="6"/>
    <col width="9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</cols>
  <sheetData>
    <row r="1">
      <c r="B1" s="1" t="inlineStr">
        <is>
          <t>PRODUCT REVENUES — UNIT AND TOTAL</t>
        </is>
      </c>
    </row>
    <row r="2">
      <c r="B2" s="14" t="inlineStr">
        <is>
          <t>Net interest margins measured against internal funds transfer prices (floating = Bank Rate; term = Bank Rate + premium).</t>
        </is>
      </c>
    </row>
    <row r="4">
      <c r="B4" s="43" t="inlineStr">
        <is>
          <t>Product</t>
        </is>
      </c>
      <c r="C4" s="43" t="inlineStr">
        <is>
          <t>Units</t>
        </is>
      </c>
      <c r="D4" s="43" t="inlineStr">
        <is>
          <t>Avg balance /unit</t>
        </is>
      </c>
      <c r="E4" s="43" t="inlineStr">
        <is>
          <t>Customer rate</t>
        </is>
      </c>
      <c r="F4" s="43" t="inlineStr">
        <is>
          <t>FTP rate</t>
        </is>
      </c>
      <c r="G4" s="43" t="inlineStr">
        <is>
          <t>Margin %</t>
        </is>
      </c>
      <c r="H4" s="43" t="inlineStr">
        <is>
          <t>NII per unit</t>
        </is>
      </c>
      <c r="I4" s="43" t="inlineStr">
        <is>
          <t>Fees per unit</t>
        </is>
      </c>
      <c r="J4" s="43" t="inlineStr">
        <is>
          <t>Revenue per unit</t>
        </is>
      </c>
      <c r="K4" s="43" t="inlineStr">
        <is>
          <t>Total NII (£)</t>
        </is>
      </c>
      <c r="L4" s="43" t="inlineStr">
        <is>
          <t>Total fees (£)</t>
        </is>
      </c>
      <c r="M4" s="43" t="inlineStr">
        <is>
          <t>Total revenue (£)</t>
        </is>
      </c>
    </row>
    <row r="5">
      <c r="B5" s="10" t="inlineStr">
        <is>
          <t>Business current accounts</t>
        </is>
      </c>
      <c r="C5" s="47">
        <f>'1. Customers'!$C$12</f>
        <v/>
      </c>
      <c r="D5" s="48">
        <f>'1. Customers'!$D$12</f>
        <v/>
      </c>
      <c r="E5" s="16">
        <f>'Inputs'!$F$58</f>
        <v/>
      </c>
      <c r="F5" s="16">
        <f>'Inputs'!$F$17</f>
        <v/>
      </c>
      <c r="G5" s="16">
        <f>F5-E5</f>
        <v/>
      </c>
      <c r="H5" s="44">
        <f>D5*G5</f>
        <v/>
      </c>
      <c r="I5" s="44">
        <f>12*'Inputs'!$F$59+'Inputs'!$F$60</f>
        <v/>
      </c>
      <c r="J5" s="26">
        <f>H5+I5</f>
        <v/>
      </c>
      <c r="K5" s="44">
        <f>H5*C5</f>
        <v/>
      </c>
      <c r="L5" s="44">
        <f>I5*C5</f>
        <v/>
      </c>
      <c r="M5" s="26">
        <f>J5*C5</f>
        <v/>
      </c>
    </row>
    <row r="6">
      <c r="B6" s="10" t="inlineStr">
        <is>
          <t>Instant-access savings</t>
        </is>
      </c>
      <c r="C6" s="47">
        <f>'1. Customers'!$C$13</f>
        <v/>
      </c>
      <c r="D6" s="48">
        <f>'1. Customers'!$D$13</f>
        <v/>
      </c>
      <c r="E6" s="16">
        <f>'Inputs'!$F$61</f>
        <v/>
      </c>
      <c r="F6" s="16">
        <f>'Inputs'!$F$17</f>
        <v/>
      </c>
      <c r="G6" s="16">
        <f>F6-E6</f>
        <v/>
      </c>
      <c r="H6" s="44">
        <f>D6*G6</f>
        <v/>
      </c>
      <c r="I6" s="44">
        <f>0</f>
        <v/>
      </c>
      <c r="J6" s="26">
        <f>H6+I6</f>
        <v/>
      </c>
      <c r="K6" s="44">
        <f>H6*C6</f>
        <v/>
      </c>
      <c r="L6" s="44">
        <f>I6*C6</f>
        <v/>
      </c>
      <c r="M6" s="26">
        <f>J6*C6</f>
        <v/>
      </c>
    </row>
    <row r="7">
      <c r="B7" s="10" t="inlineStr">
        <is>
          <t>Notice &amp; fixed deposits</t>
        </is>
      </c>
      <c r="C7" s="47">
        <f>'1. Customers'!$C$14</f>
        <v/>
      </c>
      <c r="D7" s="48">
        <f>'1. Customers'!$D$14</f>
        <v/>
      </c>
      <c r="E7" s="16">
        <f>'Inputs'!$F$62</f>
        <v/>
      </c>
      <c r="F7" s="16">
        <f>'Inputs'!$F$18</f>
        <v/>
      </c>
      <c r="G7" s="16">
        <f>F7-E7</f>
        <v/>
      </c>
      <c r="H7" s="44">
        <f>D7*G7</f>
        <v/>
      </c>
      <c r="I7" s="44">
        <f>0</f>
        <v/>
      </c>
      <c r="J7" s="26">
        <f>H7+I7</f>
        <v/>
      </c>
      <c r="K7" s="44">
        <f>H7*C7</f>
        <v/>
      </c>
      <c r="L7" s="44">
        <f>I7*C7</f>
        <v/>
      </c>
      <c r="M7" s="26">
        <f>J7*C7</f>
        <v/>
      </c>
    </row>
    <row r="8">
      <c r="B8" s="10" t="inlineStr">
        <is>
          <t>Business overdrafts</t>
        </is>
      </c>
      <c r="C8" s="47">
        <f>'1. Customers'!$C$15</f>
        <v/>
      </c>
      <c r="D8" s="48">
        <f>'1. Customers'!$D$15</f>
        <v/>
      </c>
      <c r="E8" s="16">
        <f>'Inputs'!$F$63</f>
        <v/>
      </c>
      <c r="F8" s="16">
        <f>'Inputs'!$F$10</f>
        <v/>
      </c>
      <c r="G8" s="16">
        <f>E8-F8</f>
        <v/>
      </c>
      <c r="H8" s="44">
        <f>D8*G8</f>
        <v/>
      </c>
      <c r="I8" s="44">
        <f>'Inputs'!$F$64*'Inputs'!$F$37</f>
        <v/>
      </c>
      <c r="J8" s="26">
        <f>H8+I8</f>
        <v/>
      </c>
      <c r="K8" s="44">
        <f>H8*C8</f>
        <v/>
      </c>
      <c r="L8" s="44">
        <f>I8*C8</f>
        <v/>
      </c>
      <c r="M8" s="26">
        <f>J8*C8</f>
        <v/>
      </c>
    </row>
    <row r="9">
      <c r="B9" s="10" t="inlineStr">
        <is>
          <t>Term loans &amp; comm. mortgages</t>
        </is>
      </c>
      <c r="C9" s="47">
        <f>'1. Customers'!$C$16</f>
        <v/>
      </c>
      <c r="D9" s="48">
        <f>'1. Customers'!$D$16</f>
        <v/>
      </c>
      <c r="E9" s="16">
        <f>'Inputs'!$F$65</f>
        <v/>
      </c>
      <c r="F9" s="16">
        <f>'Inputs'!$F$11</f>
        <v/>
      </c>
      <c r="G9" s="16">
        <f>E9-F9</f>
        <v/>
      </c>
      <c r="H9" s="44">
        <f>D9*G9</f>
        <v/>
      </c>
      <c r="I9" s="44">
        <f>'Inputs'!$F$66*'Inputs'!$F$40/'Inputs'!$F$41</f>
        <v/>
      </c>
      <c r="J9" s="26">
        <f>H9+I9</f>
        <v/>
      </c>
      <c r="K9" s="44">
        <f>H9*C9</f>
        <v/>
      </c>
      <c r="L9" s="44">
        <f>I9*C9</f>
        <v/>
      </c>
      <c r="M9" s="26">
        <f>J9*C9</f>
        <v/>
      </c>
    </row>
    <row r="10">
      <c r="B10" s="10" t="inlineStr">
        <is>
          <t>Asset finance</t>
        </is>
      </c>
      <c r="C10" s="47">
        <f>'1. Customers'!$C$17</f>
        <v/>
      </c>
      <c r="D10" s="48">
        <f>'1. Customers'!$D$17</f>
        <v/>
      </c>
      <c r="E10" s="16">
        <f>'Inputs'!$F$67</f>
        <v/>
      </c>
      <c r="F10" s="16">
        <f>'Inputs'!$F$11</f>
        <v/>
      </c>
      <c r="G10" s="16">
        <f>E10-F10</f>
        <v/>
      </c>
      <c r="H10" s="44">
        <f>D10*G10</f>
        <v/>
      </c>
      <c r="I10" s="44">
        <f>0</f>
        <v/>
      </c>
      <c r="J10" s="26">
        <f>H10+I10</f>
        <v/>
      </c>
      <c r="K10" s="44">
        <f>H10*C10</f>
        <v/>
      </c>
      <c r="L10" s="44">
        <f>I10*C10</f>
        <v/>
      </c>
      <c r="M10" s="26">
        <f>J10*C10</f>
        <v/>
      </c>
    </row>
    <row r="11">
      <c r="B11" s="10" t="inlineStr">
        <is>
          <t>Invoice finance</t>
        </is>
      </c>
      <c r="C11" s="47">
        <f>'1. Customers'!$C$18</f>
        <v/>
      </c>
      <c r="D11" s="48">
        <f>'1. Customers'!$D$18</f>
        <v/>
      </c>
      <c r="E11" s="16">
        <f>'Inputs'!$F$10+'Inputs'!$F$68</f>
        <v/>
      </c>
      <c r="F11" s="16">
        <f>'Inputs'!$F$10</f>
        <v/>
      </c>
      <c r="G11" s="16">
        <f>E11-F11</f>
        <v/>
      </c>
      <c r="H11" s="44">
        <f>D11*G11</f>
        <v/>
      </c>
      <c r="I11" s="44">
        <f>'Inputs'!$F$69*'Inputs'!$F$46*'Inputs'!$F$48</f>
        <v/>
      </c>
      <c r="J11" s="26">
        <f>H11+I11</f>
        <v/>
      </c>
      <c r="K11" s="44">
        <f>H11*C11</f>
        <v/>
      </c>
      <c r="L11" s="44">
        <f>I11*C11</f>
        <v/>
      </c>
      <c r="M11" s="26">
        <f>J11*C11</f>
        <v/>
      </c>
    </row>
    <row r="12">
      <c r="B12" s="10" t="inlineStr">
        <is>
          <t>Business credit cards</t>
        </is>
      </c>
      <c r="C12" s="47">
        <f>'1. Customers'!$C$19</f>
        <v/>
      </c>
      <c r="D12" s="48">
        <f>'1. Customers'!$D$19</f>
        <v/>
      </c>
      <c r="E12" s="16">
        <f>'Inputs'!$F$72</f>
        <v/>
      </c>
      <c r="F12" s="16">
        <f>'Inputs'!$F$10</f>
        <v/>
      </c>
      <c r="G12" s="16">
        <f>E12-F12</f>
        <v/>
      </c>
      <c r="H12" s="44">
        <f>D12*G12</f>
        <v/>
      </c>
      <c r="I12" s="44">
        <f>'Inputs'!$F$70*'Inputs'!$F$50*12+'Inputs'!$F$71</f>
        <v/>
      </c>
      <c r="J12" s="26">
        <f>H12+I12</f>
        <v/>
      </c>
      <c r="K12" s="44">
        <f>H12*C12</f>
        <v/>
      </c>
      <c r="L12" s="44">
        <f>I12*C12</f>
        <v/>
      </c>
      <c r="M12" s="26">
        <f>J12*C12</f>
        <v/>
      </c>
    </row>
    <row r="13">
      <c r="B13" s="10" t="inlineStr">
        <is>
          <t>Payments &amp; FX</t>
        </is>
      </c>
      <c r="C13" s="47">
        <f>'1. Customers'!$C$20</f>
        <v/>
      </c>
      <c r="D13" s="48">
        <f>'1. Customers'!$D$20</f>
        <v/>
      </c>
      <c r="E13" s="16">
        <f>0</f>
        <v/>
      </c>
      <c r="F13" s="16">
        <f>0</f>
        <v/>
      </c>
      <c r="G13" s="16">
        <f>0</f>
        <v/>
      </c>
      <c r="H13" s="44">
        <f>D13*G13</f>
        <v/>
      </c>
      <c r="I13" s="44">
        <f>'Inputs'!$F$54*'Inputs'!$F$73+'Inputs'!$F$55*'Inputs'!$F$74</f>
        <v/>
      </c>
      <c r="J13" s="26">
        <f>H13+I13</f>
        <v/>
      </c>
      <c r="K13" s="44">
        <f>H13*C13</f>
        <v/>
      </c>
      <c r="L13" s="44">
        <f>I13*C13</f>
        <v/>
      </c>
      <c r="M13" s="26">
        <f>J13*C13</f>
        <v/>
      </c>
    </row>
    <row r="14">
      <c r="B14" s="49" t="inlineStr">
        <is>
          <t>TOTAL</t>
        </is>
      </c>
      <c r="K14" s="45">
        <f>SUM(K5:K13)</f>
        <v/>
      </c>
      <c r="L14" s="45">
        <f>SUM(L5:L13)</f>
        <v/>
      </c>
      <c r="M14" s="45">
        <f>SUM(M5:M13)</f>
        <v/>
      </c>
    </row>
    <row r="16">
      <c r="B16" s="5" t="inlineStr">
        <is>
          <t>Deposit products earn the spread between the transfer price and the rate paid; lending earns customer rate minus transfer price. Invoice finance service fees are charged on funded invoice value (≈8× funds in use).</t>
        </is>
      </c>
    </row>
    <row r="18">
      <c r="B18" s="14" t="inlineStr">
        <is>
          <t>Memo — liquidity charge, already inside the deposit NII above (deposits × buffer × drag):</t>
        </is>
      </c>
      <c r="C18" s="44">
        <f>-'1. Customers'!$E$21*'Inputs'!$F$14*'Inputs'!$F$15</f>
        <v/>
      </c>
    </row>
    <row r="19">
      <c r="B19" s="14" t="inlineStr">
        <is>
          <t>Memo — behavioural deposit credit, already inside the deposit NII above (stable balances × credit):</t>
        </is>
      </c>
      <c r="C19" s="44">
        <f>('1. Customers'!$E$12+'1. Customers'!$E$13)*'Inputs'!$F$16</f>
        <v/>
      </c>
    </row>
  </sheetData>
  <mergeCells count="1">
    <mergeCell ref="B16:M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L7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46" customWidth="1" min="2" max="2"/>
    <col width="10" customWidth="1" min="3" max="3"/>
    <col width="22" customWidth="1" min="4" max="4"/>
    <col width="13" customWidth="1" min="5" max="5"/>
    <col width="12" customWidth="1" min="6" max="6"/>
    <col width="12" customWidth="1" min="7" max="7"/>
    <col width="14" customWidth="1" min="8" max="8"/>
  </cols>
  <sheetData>
    <row r="1">
      <c r="B1" s="1" t="inlineStr">
        <is>
          <t>STEP 2 — RUNNING COSTS: PEOPLE FROM ACTIVITY DRIVERS</t>
        </is>
      </c>
    </row>
    <row r="2">
      <c r="B2" s="14" t="inlineStr">
        <is>
          <t>Every FTE is derived from transaction intensity (I) and customer load (L) — no headcount is assumed directly.</t>
        </is>
      </c>
    </row>
    <row r="4">
      <c r="B4" s="10" t="inlineStr">
        <is>
          <t>Available hours per FTE per year</t>
        </is>
      </c>
      <c r="C4" s="42">
        <f>'Inputs'!$F$98*12</f>
        <v/>
      </c>
      <c r="E4" s="14" t="inlineStr">
        <is>
          <t>147 hrs/month × 12</t>
        </is>
      </c>
    </row>
    <row r="5">
      <c r="B5" s="10" t="inlineStr">
        <is>
          <t>Loaded hourly rate — relationship manager</t>
        </is>
      </c>
      <c r="C5" s="50">
        <f>'Inputs'!$F$99*(1+'Inputs'!$F$103)/'3. HR &amp; Activity'!$C$4</f>
        <v/>
      </c>
    </row>
    <row r="6">
      <c r="B6" s="10" t="inlineStr">
        <is>
          <t>Loaded hourly rate — credit analyst</t>
        </is>
      </c>
      <c r="C6" s="50">
        <f>'Inputs'!$F$100*(1+'Inputs'!$F$103)/'3. HR &amp; Activity'!$C$4</f>
        <v/>
      </c>
    </row>
    <row r="7">
      <c r="B7" s="10" t="inlineStr">
        <is>
          <t>Loaded hourly rate — service &amp; operations</t>
        </is>
      </c>
      <c r="C7" s="50">
        <f>'Inputs'!$F$101*(1+'Inputs'!$F$103)/'3. HR &amp; Activity'!$C$4</f>
        <v/>
      </c>
    </row>
    <row r="9">
      <c r="B9" s="7" t="inlineStr">
        <is>
          <t>ACTIVITY DRIVER TABLE (transaction intensity, I)</t>
        </is>
      </c>
      <c r="C9" s="8" t="inlineStr"/>
      <c r="D9" s="8" t="inlineStr"/>
      <c r="E9" s="8" t="inlineStr"/>
      <c r="F9" s="8" t="inlineStr"/>
      <c r="G9" s="8" t="inlineStr"/>
      <c r="H9" s="8" t="inlineStr"/>
    </row>
    <row r="10">
      <c r="B10" s="43" t="inlineStr">
        <is>
          <t>Activity</t>
        </is>
      </c>
      <c r="C10" s="43" t="inlineStr">
        <is>
          <t>Product</t>
        </is>
      </c>
      <c r="D10" s="43" t="inlineStr">
        <is>
          <t>Role</t>
        </is>
      </c>
      <c r="E10" s="43" t="inlineStr">
        <is>
          <t>Driver volume /yr</t>
        </is>
      </c>
      <c r="F10" s="43" t="inlineStr">
        <is>
          <t>Hours per</t>
        </is>
      </c>
      <c r="G10" s="43" t="inlineStr">
        <is>
          <t>Total hours /yr</t>
        </is>
      </c>
      <c r="H10" s="43" t="inlineStr">
        <is>
          <t>Cost (£/yr)</t>
        </is>
      </c>
      <c r="I10" s="9" t="inlineStr">
        <is>
          <t>Flow (tab 9)</t>
        </is>
      </c>
      <c r="J10" s="9" t="inlineStr">
        <is>
          <t>Cost low (£/yr)</t>
        </is>
      </c>
      <c r="K10" s="9" t="inlineStr">
        <is>
          <t>Cost high (£/yr)</t>
        </is>
      </c>
      <c r="L10" s="9" t="inlineStr">
        <is>
          <t>Channel (scenario dimension)</t>
        </is>
      </c>
    </row>
    <row r="11">
      <c r="B11" s="10" t="inlineStr">
        <is>
          <t>Customer onboarding (KYC/AML, account setup)</t>
        </is>
      </c>
      <c r="C11" s="51" t="inlineStr">
        <is>
          <t>bca</t>
        </is>
      </c>
      <c r="D11" s="10" t="inlineStr">
        <is>
          <t>Service &amp; ops</t>
        </is>
      </c>
      <c r="E11" s="42">
        <f>'1. Customers'!$C$8</f>
        <v/>
      </c>
      <c r="F11" s="52">
        <f>'Inputs'!$F$105</f>
        <v/>
      </c>
      <c r="G11" s="42">
        <f>E11*F11</f>
        <v/>
      </c>
      <c r="H11" s="44">
        <f>G11*'3. HR &amp; Activity'!$C$7</f>
        <v/>
      </c>
      <c r="I11" s="51" t="inlineStr">
        <is>
          <t>CA-WP</t>
        </is>
      </c>
      <c r="J11" s="44">
        <f>H11*'Inputs'!$F$118</f>
        <v/>
      </c>
      <c r="K11" s="44">
        <f>H11*'Inputs'!$F$119</f>
        <v/>
      </c>
      <c r="L11" s="51" t="inlineStr">
        <is>
          <t>digital-amenable</t>
        </is>
      </c>
    </row>
    <row r="12">
      <c r="B12" s="10" t="inlineStr">
        <is>
          <t>Current account servicing</t>
        </is>
      </c>
      <c r="C12" s="51" t="inlineStr">
        <is>
          <t>bca</t>
        </is>
      </c>
      <c r="D12" s="10" t="inlineStr">
        <is>
          <t>Service &amp; ops</t>
        </is>
      </c>
      <c r="E12" s="42">
        <f>'1. Customers'!$C$12</f>
        <v/>
      </c>
      <c r="F12" s="52">
        <f>'Inputs'!$F$106</f>
        <v/>
      </c>
      <c r="G12" s="42">
        <f>E12*F12</f>
        <v/>
      </c>
      <c r="H12" s="44">
        <f>G12*'3. HR &amp; Activity'!$C$7</f>
        <v/>
      </c>
      <c r="I12" s="51" t="inlineStr">
        <is>
          <t>CA-WP</t>
        </is>
      </c>
      <c r="J12" s="44">
        <f>H12*'Inputs'!$F$118</f>
        <v/>
      </c>
      <c r="K12" s="44">
        <f>H12*'Inputs'!$F$119</f>
        <v/>
      </c>
      <c r="L12" s="51" t="inlineStr">
        <is>
          <t>digital-amenable</t>
        </is>
      </c>
    </row>
    <row r="13">
      <c r="B13" s="10" t="inlineStr">
        <is>
          <t>Savings servicing</t>
        </is>
      </c>
      <c r="C13" s="51" t="inlineStr">
        <is>
          <t>sav</t>
        </is>
      </c>
      <c r="D13" s="10" t="inlineStr">
        <is>
          <t>Service &amp; ops</t>
        </is>
      </c>
      <c r="E13" s="42">
        <f>'1. Customers'!$C$13</f>
        <v/>
      </c>
      <c r="F13" s="52">
        <f>'Inputs'!$F$107</f>
        <v/>
      </c>
      <c r="G13" s="42">
        <f>E13*F13</f>
        <v/>
      </c>
      <c r="H13" s="44">
        <f>G13*'3. HR &amp; Activity'!$C$7</f>
        <v/>
      </c>
      <c r="I13" s="51" t="inlineStr">
        <is>
          <t>SV-WP</t>
        </is>
      </c>
      <c r="J13" s="44">
        <f>H13*'Inputs'!$F$118</f>
        <v/>
      </c>
      <c r="K13" s="44">
        <f>H13*'Inputs'!$F$119</f>
        <v/>
      </c>
      <c r="L13" s="51" t="inlineStr">
        <is>
          <t>digital-amenable</t>
        </is>
      </c>
    </row>
    <row r="14">
      <c r="B14" s="10" t="inlineStr">
        <is>
          <t>Deposit servicing</t>
        </is>
      </c>
      <c r="C14" s="51" t="inlineStr">
        <is>
          <t>dep</t>
        </is>
      </c>
      <c r="D14" s="10" t="inlineStr">
        <is>
          <t>Service &amp; ops</t>
        </is>
      </c>
      <c r="E14" s="42">
        <f>'1. Customers'!$C$14</f>
        <v/>
      </c>
      <c r="F14" s="52">
        <f>'Inputs'!$F$108</f>
        <v/>
      </c>
      <c r="G14" s="42">
        <f>E14*F14</f>
        <v/>
      </c>
      <c r="H14" s="44">
        <f>G14*'3. HR &amp; Activity'!$C$7</f>
        <v/>
      </c>
      <c r="I14" s="51" t="inlineStr">
        <is>
          <t>SV-WP</t>
        </is>
      </c>
      <c r="J14" s="44">
        <f>H14*'Inputs'!$F$118</f>
        <v/>
      </c>
      <c r="K14" s="44">
        <f>H14*'Inputs'!$F$119</f>
        <v/>
      </c>
      <c r="L14" s="51" t="inlineStr">
        <is>
          <t>digital-amenable</t>
        </is>
      </c>
    </row>
    <row r="15">
      <c r="B15" s="10" t="inlineStr">
        <is>
          <t>Overdraft reviews &amp; renewals</t>
        </is>
      </c>
      <c r="C15" s="51" t="inlineStr">
        <is>
          <t>od</t>
        </is>
      </c>
      <c r="D15" s="10" t="inlineStr">
        <is>
          <t>Credit analyst</t>
        </is>
      </c>
      <c r="E15" s="42">
        <f>'1. Customers'!$C$15</f>
        <v/>
      </c>
      <c r="F15" s="52">
        <f>'Inputs'!$F$109</f>
        <v/>
      </c>
      <c r="G15" s="42">
        <f>E15*F15</f>
        <v/>
      </c>
      <c r="H15" s="44">
        <f>G15*'3. HR &amp; Activity'!$C$6</f>
        <v/>
      </c>
      <c r="I15" s="51" t="inlineStr">
        <is>
          <t>LN-WP</t>
        </is>
      </c>
      <c r="J15" s="44">
        <f>H15*'Inputs'!$F$118</f>
        <v/>
      </c>
      <c r="K15" s="44">
        <f>H15*'Inputs'!$F$119</f>
        <v/>
      </c>
      <c r="L15" s="51" t="inlineStr">
        <is>
          <t>judgement</t>
        </is>
      </c>
    </row>
    <row r="16">
      <c r="B16" s="10" t="inlineStr">
        <is>
          <t>Term loan underwriting (new loans)</t>
        </is>
      </c>
      <c r="C16" s="51" t="inlineStr">
        <is>
          <t>loan</t>
        </is>
      </c>
      <c r="D16" s="10" t="inlineStr">
        <is>
          <t>Credit analyst</t>
        </is>
      </c>
      <c r="E16" s="42">
        <f>'1. Customers'!$C$16/'Inputs'!$F$41</f>
        <v/>
      </c>
      <c r="F16" s="52">
        <f>'Inputs'!$F$110</f>
        <v/>
      </c>
      <c r="G16" s="42">
        <f>E16*F16</f>
        <v/>
      </c>
      <c r="H16" s="44">
        <f>G16*'3. HR &amp; Activity'!$C$6</f>
        <v/>
      </c>
      <c r="I16" s="51" t="inlineStr">
        <is>
          <t>LN-WP</t>
        </is>
      </c>
      <c r="J16" s="44">
        <f>H16*'Inputs'!$F$118</f>
        <v/>
      </c>
      <c r="K16" s="44">
        <f>H16*'Inputs'!$F$119</f>
        <v/>
      </c>
      <c r="L16" s="51" t="inlineStr">
        <is>
          <t>judgement</t>
        </is>
      </c>
    </row>
    <row r="17">
      <c r="B17" s="10" t="inlineStr">
        <is>
          <t>Term loan annual reviews</t>
        </is>
      </c>
      <c r="C17" s="51" t="inlineStr">
        <is>
          <t>loan</t>
        </is>
      </c>
      <c r="D17" s="10" t="inlineStr">
        <is>
          <t>Credit analyst</t>
        </is>
      </c>
      <c r="E17" s="42">
        <f>'1. Customers'!$C$16</f>
        <v/>
      </c>
      <c r="F17" s="52">
        <f>'Inputs'!$F$111</f>
        <v/>
      </c>
      <c r="G17" s="42">
        <f>E17*F17</f>
        <v/>
      </c>
      <c r="H17" s="44">
        <f>G17*'3. HR &amp; Activity'!$C$6</f>
        <v/>
      </c>
      <c r="I17" s="51" t="inlineStr">
        <is>
          <t>LN-WP</t>
        </is>
      </c>
      <c r="J17" s="44">
        <f>H17*'Inputs'!$F$118</f>
        <v/>
      </c>
      <c r="K17" s="44">
        <f>H17*'Inputs'!$F$119</f>
        <v/>
      </c>
      <c r="L17" s="51" t="inlineStr">
        <is>
          <t>judgement</t>
        </is>
      </c>
    </row>
    <row r="18">
      <c r="B18" s="10" t="inlineStr">
        <is>
          <t>Asset finance origination</t>
        </is>
      </c>
      <c r="C18" s="51" t="inlineStr">
        <is>
          <t>af</t>
        </is>
      </c>
      <c r="D18" s="10" t="inlineStr">
        <is>
          <t>Credit analyst</t>
        </is>
      </c>
      <c r="E18" s="42">
        <f>'1. Customers'!$C$17/'Inputs'!$F$44</f>
        <v/>
      </c>
      <c r="F18" s="52">
        <f>'Inputs'!$F$112</f>
        <v/>
      </c>
      <c r="G18" s="42">
        <f>E18*F18</f>
        <v/>
      </c>
      <c r="H18" s="44">
        <f>G18*'3. HR &amp; Activity'!$C$6</f>
        <v/>
      </c>
      <c r="I18" s="51" t="inlineStr">
        <is>
          <t>LN-WP</t>
        </is>
      </c>
      <c r="J18" s="44">
        <f>H18*'Inputs'!$F$118</f>
        <v/>
      </c>
      <c r="K18" s="44">
        <f>H18*'Inputs'!$F$119</f>
        <v/>
      </c>
      <c r="L18" s="51" t="inlineStr">
        <is>
          <t>digital-amenable</t>
        </is>
      </c>
    </row>
    <row r="19">
      <c r="B19" s="10" t="inlineStr">
        <is>
          <t>Invoice finance client onboarding</t>
        </is>
      </c>
      <c r="C19" s="51" t="inlineStr">
        <is>
          <t>inv</t>
        </is>
      </c>
      <c r="D19" s="10" t="inlineStr">
        <is>
          <t>Credit analyst</t>
        </is>
      </c>
      <c r="E19" s="42">
        <f>'1. Customers'!$C$18/'Inputs'!$F$47</f>
        <v/>
      </c>
      <c r="F19" s="52">
        <f>'Inputs'!$F$113</f>
        <v/>
      </c>
      <c r="G19" s="42">
        <f>E19*F19</f>
        <v/>
      </c>
      <c r="H19" s="44">
        <f>G19*'3. HR &amp; Activity'!$C$6</f>
        <v/>
      </c>
      <c r="I19" s="51" t="inlineStr">
        <is>
          <t>LN-WP</t>
        </is>
      </c>
      <c r="J19" s="44">
        <f>H19*'Inputs'!$F$118</f>
        <v/>
      </c>
      <c r="K19" s="44">
        <f>H19*'Inputs'!$F$119</f>
        <v/>
      </c>
      <c r="L19" s="51" t="inlineStr">
        <is>
          <t>judgement</t>
        </is>
      </c>
    </row>
    <row r="20">
      <c r="B20" s="10" t="inlineStr">
        <is>
          <t>Invoice finance monitoring</t>
        </is>
      </c>
      <c r="C20" s="51" t="inlineStr">
        <is>
          <t>inv</t>
        </is>
      </c>
      <c r="D20" s="10" t="inlineStr">
        <is>
          <t>Credit analyst</t>
        </is>
      </c>
      <c r="E20" s="42">
        <f>'1. Customers'!$C$18</f>
        <v/>
      </c>
      <c r="F20" s="52">
        <f>'Inputs'!$F$114*12</f>
        <v/>
      </c>
      <c r="G20" s="42">
        <f>E20*F20</f>
        <v/>
      </c>
      <c r="H20" s="44">
        <f>G20*'3. HR &amp; Activity'!$C$6</f>
        <v/>
      </c>
      <c r="I20" s="51" t="inlineStr">
        <is>
          <t>LN-WP</t>
        </is>
      </c>
      <c r="J20" s="44">
        <f>H20*'Inputs'!$F$118</f>
        <v/>
      </c>
      <c r="K20" s="44">
        <f>H20*'Inputs'!$F$119</f>
        <v/>
      </c>
      <c r="L20" s="51" t="inlineStr">
        <is>
          <t>judgement</t>
        </is>
      </c>
    </row>
    <row r="21">
      <c r="B21" s="10" t="inlineStr">
        <is>
          <t>Card servicing</t>
        </is>
      </c>
      <c r="C21" s="51" t="inlineStr">
        <is>
          <t>card</t>
        </is>
      </c>
      <c r="D21" s="10" t="inlineStr">
        <is>
          <t>Service &amp; ops</t>
        </is>
      </c>
      <c r="E21" s="42">
        <f>'1. Customers'!$C$19</f>
        <v/>
      </c>
      <c r="F21" s="52">
        <f>'Inputs'!$F$115</f>
        <v/>
      </c>
      <c r="G21" s="42">
        <f>E21*F21</f>
        <v/>
      </c>
      <c r="H21" s="44">
        <f>G21*'3. HR &amp; Activity'!$C$7</f>
        <v/>
      </c>
      <c r="I21" s="51" t="inlineStr">
        <is>
          <t>CC-WP</t>
        </is>
      </c>
      <c r="J21" s="44">
        <f>H21*'Inputs'!$F$118</f>
        <v/>
      </c>
      <c r="K21" s="44">
        <f>H21*'Inputs'!$F$119</f>
        <v/>
      </c>
      <c r="L21" s="51" t="inlineStr">
        <is>
          <t>digital-amenable</t>
        </is>
      </c>
    </row>
    <row r="22">
      <c r="B22" s="10" t="inlineStr">
        <is>
          <t>Payments &amp; FX support</t>
        </is>
      </c>
      <c r="C22" s="51" t="inlineStr">
        <is>
          <t>fx</t>
        </is>
      </c>
      <c r="D22" s="10" t="inlineStr">
        <is>
          <t>Service &amp; ops</t>
        </is>
      </c>
      <c r="E22" s="42">
        <f>'1. Customers'!$C$20</f>
        <v/>
      </c>
      <c r="F22" s="52">
        <f>'Inputs'!$F$116</f>
        <v/>
      </c>
      <c r="G22" s="42">
        <f>E22*F22</f>
        <v/>
      </c>
      <c r="H22" s="44">
        <f>G22*'3. HR &amp; Activity'!$C$7</f>
        <v/>
      </c>
      <c r="I22" s="51" t="inlineStr">
        <is>
          <t>PX-WP</t>
        </is>
      </c>
      <c r="J22" s="44">
        <f>H22*'Inputs'!$F$118</f>
        <v/>
      </c>
      <c r="K22" s="44">
        <f>H22*'Inputs'!$F$119</f>
        <v/>
      </c>
      <c r="L22" s="51" t="inlineStr">
        <is>
          <t>digital-amenable</t>
        </is>
      </c>
    </row>
    <row r="23">
      <c r="B23" s="10" t="inlineStr">
        <is>
          <t>Collections — overdrafts</t>
        </is>
      </c>
      <c r="C23" s="51" t="inlineStr">
        <is>
          <t>od</t>
        </is>
      </c>
      <c r="D23" s="10" t="inlineStr">
        <is>
          <t>Credit analyst</t>
        </is>
      </c>
      <c r="E23" s="42">
        <f>'1. Customers'!$C$15*'Inputs'!$F$117</f>
        <v/>
      </c>
      <c r="F23" s="52">
        <f>'Inputs'!$F$120</f>
        <v/>
      </c>
      <c r="G23" s="42">
        <f>E23*F23</f>
        <v/>
      </c>
      <c r="H23" s="44">
        <f>G23*'3. HR &amp; Activity'!$C$6</f>
        <v/>
      </c>
      <c r="I23" s="51" t="inlineStr">
        <is>
          <t>LN-WP</t>
        </is>
      </c>
      <c r="J23" s="44">
        <f>H23*'Inputs'!$F$118</f>
        <v/>
      </c>
      <c r="K23" s="44">
        <f>H23*'Inputs'!$F$119</f>
        <v/>
      </c>
      <c r="L23" s="51" t="inlineStr">
        <is>
          <t>judgement</t>
        </is>
      </c>
    </row>
    <row r="24">
      <c r="B24" s="10" t="inlineStr">
        <is>
          <t>Collections — term loans</t>
        </is>
      </c>
      <c r="C24" s="51" t="inlineStr">
        <is>
          <t>loan</t>
        </is>
      </c>
      <c r="D24" s="10" t="inlineStr">
        <is>
          <t>Credit analyst</t>
        </is>
      </c>
      <c r="E24" s="42">
        <f>'1. Customers'!$C$16*'Inputs'!$F$117</f>
        <v/>
      </c>
      <c r="F24" s="52">
        <f>'Inputs'!$F$120</f>
        <v/>
      </c>
      <c r="G24" s="42">
        <f>E24*F24</f>
        <v/>
      </c>
      <c r="H24" s="44">
        <f>G24*'3. HR &amp; Activity'!$C$6</f>
        <v/>
      </c>
      <c r="I24" s="51" t="inlineStr">
        <is>
          <t>LN-WP</t>
        </is>
      </c>
      <c r="J24" s="44">
        <f>H24*'Inputs'!$F$118</f>
        <v/>
      </c>
      <c r="K24" s="44">
        <f>H24*'Inputs'!$F$119</f>
        <v/>
      </c>
      <c r="L24" s="51" t="inlineStr">
        <is>
          <t>judgement</t>
        </is>
      </c>
    </row>
    <row r="25">
      <c r="B25" s="10" t="inlineStr">
        <is>
          <t>Collections — asset finance</t>
        </is>
      </c>
      <c r="C25" s="51" t="inlineStr">
        <is>
          <t>af</t>
        </is>
      </c>
      <c r="D25" s="10" t="inlineStr">
        <is>
          <t>Credit analyst</t>
        </is>
      </c>
      <c r="E25" s="42">
        <f>'1. Customers'!$C$17*'Inputs'!$F$117</f>
        <v/>
      </c>
      <c r="F25" s="52">
        <f>'Inputs'!$F$120</f>
        <v/>
      </c>
      <c r="G25" s="42">
        <f>E25*F25</f>
        <v/>
      </c>
      <c r="H25" s="44">
        <f>G25*'3. HR &amp; Activity'!$C$6</f>
        <v/>
      </c>
      <c r="I25" s="51" t="inlineStr">
        <is>
          <t>LN-WP</t>
        </is>
      </c>
      <c r="J25" s="44">
        <f>H25*'Inputs'!$F$118</f>
        <v/>
      </c>
      <c r="K25" s="44">
        <f>H25*'Inputs'!$F$119</f>
        <v/>
      </c>
      <c r="L25" s="51" t="inlineStr">
        <is>
          <t>judgement</t>
        </is>
      </c>
    </row>
    <row r="26">
      <c r="B26" s="10" t="inlineStr">
        <is>
          <t>Collections — invoice finance</t>
        </is>
      </c>
      <c r="C26" s="51" t="inlineStr">
        <is>
          <t>inv</t>
        </is>
      </c>
      <c r="D26" s="10" t="inlineStr">
        <is>
          <t>Credit analyst</t>
        </is>
      </c>
      <c r="E26" s="42">
        <f>'1. Customers'!$C$18*'Inputs'!$F$117</f>
        <v/>
      </c>
      <c r="F26" s="52">
        <f>'Inputs'!$F$120</f>
        <v/>
      </c>
      <c r="G26" s="42">
        <f>E26*F26</f>
        <v/>
      </c>
      <c r="H26" s="44">
        <f>G26*'3. HR &amp; Activity'!$C$6</f>
        <v/>
      </c>
      <c r="I26" s="51" t="inlineStr">
        <is>
          <t>LN-WP</t>
        </is>
      </c>
      <c r="J26" s="44">
        <f>H26*'Inputs'!$F$118</f>
        <v/>
      </c>
      <c r="K26" s="44">
        <f>H26*'Inputs'!$F$119</f>
        <v/>
      </c>
      <c r="L26" s="51" t="inlineStr">
        <is>
          <t>judgement</t>
        </is>
      </c>
    </row>
    <row r="27">
      <c r="B27" s="10" t="inlineStr">
        <is>
          <t>Collections — cards</t>
        </is>
      </c>
      <c r="C27" s="51" t="inlineStr">
        <is>
          <t>card</t>
        </is>
      </c>
      <c r="D27" s="10" t="inlineStr">
        <is>
          <t>Credit analyst</t>
        </is>
      </c>
      <c r="E27" s="42">
        <f>'1. Customers'!$C$19*'Inputs'!$F$117</f>
        <v/>
      </c>
      <c r="F27" s="52">
        <f>'Inputs'!$F$120</f>
        <v/>
      </c>
      <c r="G27" s="42">
        <f>E27*F27</f>
        <v/>
      </c>
      <c r="H27" s="44">
        <f>G27*'3. HR &amp; Activity'!$C$6</f>
        <v/>
      </c>
      <c r="I27" s="51" t="inlineStr">
        <is>
          <t>CC-WP</t>
        </is>
      </c>
      <c r="J27" s="44">
        <f>H27*'Inputs'!$F$118</f>
        <v/>
      </c>
      <c r="K27" s="44">
        <f>H27*'Inputs'!$F$119</f>
        <v/>
      </c>
      <c r="L27" s="51" t="inlineStr">
        <is>
          <t>judgement</t>
        </is>
      </c>
    </row>
    <row r="28">
      <c r="B28" s="10" t="inlineStr">
        <is>
          <t>Collateral administration — term loans</t>
        </is>
      </c>
      <c r="C28" s="51" t="inlineStr">
        <is>
          <t>loan</t>
        </is>
      </c>
      <c r="D28" s="10" t="inlineStr">
        <is>
          <t>Credit analyst</t>
        </is>
      </c>
      <c r="E28" s="42">
        <f>'1. Customers'!$C$16</f>
        <v/>
      </c>
      <c r="F28" s="52">
        <f>'Inputs'!$F$121</f>
        <v/>
      </c>
      <c r="G28" s="42">
        <f>E28*F28</f>
        <v/>
      </c>
      <c r="H28" s="44">
        <f>G28*'3. HR &amp; Activity'!$C$6</f>
        <v/>
      </c>
      <c r="I28" s="51" t="inlineStr">
        <is>
          <t>LN-WP</t>
        </is>
      </c>
      <c r="J28" s="44">
        <f>H28*'Inputs'!$F$118</f>
        <v/>
      </c>
      <c r="K28" s="44">
        <f>H28*'Inputs'!$F$119</f>
        <v/>
      </c>
      <c r="L28" s="51" t="inlineStr">
        <is>
          <t>digital-amenable</t>
        </is>
      </c>
    </row>
    <row r="29">
      <c r="B29" s="10" t="inlineStr">
        <is>
          <t>Collateral administration — asset finance</t>
        </is>
      </c>
      <c r="C29" s="51" t="inlineStr">
        <is>
          <t>af</t>
        </is>
      </c>
      <c r="D29" s="10" t="inlineStr">
        <is>
          <t>Credit analyst</t>
        </is>
      </c>
      <c r="E29" s="42">
        <f>'1. Customers'!$C$17</f>
        <v/>
      </c>
      <c r="F29" s="52">
        <f>'Inputs'!$F$121</f>
        <v/>
      </c>
      <c r="G29" s="42">
        <f>E29*F29</f>
        <v/>
      </c>
      <c r="H29" s="44">
        <f>G29*'3. HR &amp; Activity'!$C$6</f>
        <v/>
      </c>
      <c r="I29" s="51" t="inlineStr">
        <is>
          <t>LN-WP</t>
        </is>
      </c>
      <c r="J29" s="44">
        <f>H29*'Inputs'!$F$118</f>
        <v/>
      </c>
      <c r="K29" s="44">
        <f>H29*'Inputs'!$F$119</f>
        <v/>
      </c>
      <c r="L29" s="51" t="inlineStr">
        <is>
          <t>digital-amenable</t>
        </is>
      </c>
    </row>
    <row r="30">
      <c r="B30" s="10" t="inlineStr">
        <is>
          <t>Collateral administration — invoice finance</t>
        </is>
      </c>
      <c r="C30" s="51" t="inlineStr">
        <is>
          <t>inv</t>
        </is>
      </c>
      <c r="D30" s="10" t="inlineStr">
        <is>
          <t>Credit analyst</t>
        </is>
      </c>
      <c r="E30" s="42">
        <f>'1. Customers'!$C$18</f>
        <v/>
      </c>
      <c r="F30" s="52">
        <f>'Inputs'!$F$121</f>
        <v/>
      </c>
      <c r="G30" s="42">
        <f>E30*F30</f>
        <v/>
      </c>
      <c r="H30" s="44">
        <f>G30*'3. HR &amp; Activity'!$C$6</f>
        <v/>
      </c>
      <c r="I30" s="51" t="inlineStr">
        <is>
          <t>LN-WP</t>
        </is>
      </c>
      <c r="J30" s="44">
        <f>H30*'Inputs'!$F$118</f>
        <v/>
      </c>
      <c r="K30" s="44">
        <f>H30*'Inputs'!$F$119</f>
        <v/>
      </c>
      <c r="L30" s="51" t="inlineStr">
        <is>
          <t>digital-amenable</t>
        </is>
      </c>
    </row>
    <row r="31">
      <c r="B31" s="10" t="inlineStr">
        <is>
          <t>Recoveries &amp; workout — term loans</t>
        </is>
      </c>
      <c r="C31" s="51" t="inlineStr">
        <is>
          <t>loan</t>
        </is>
      </c>
      <c r="D31" s="10" t="inlineStr">
        <is>
          <t>Credit analyst</t>
        </is>
      </c>
      <c r="E31" s="42">
        <f>'1. Customers'!$C$16*'Inputs'!$F$117</f>
        <v/>
      </c>
      <c r="F31" s="52">
        <f>'Inputs'!$F$122</f>
        <v/>
      </c>
      <c r="G31" s="42">
        <f>E31*F31</f>
        <v/>
      </c>
      <c r="H31" s="44">
        <f>G31*'3. HR &amp; Activity'!$C$6</f>
        <v/>
      </c>
      <c r="I31" s="51" t="inlineStr">
        <is>
          <t>LN-WP</t>
        </is>
      </c>
      <c r="J31" s="44">
        <f>H31*'Inputs'!$F$118</f>
        <v/>
      </c>
      <c r="K31" s="44">
        <f>H31*'Inputs'!$F$119</f>
        <v/>
      </c>
      <c r="L31" s="51" t="inlineStr">
        <is>
          <t>judgement</t>
        </is>
      </c>
    </row>
    <row r="32">
      <c r="B32" s="10" t="inlineStr">
        <is>
          <t>Recoveries &amp; workout — asset finance</t>
        </is>
      </c>
      <c r="C32" s="51" t="inlineStr">
        <is>
          <t>af</t>
        </is>
      </c>
      <c r="D32" s="10" t="inlineStr">
        <is>
          <t>Credit analyst</t>
        </is>
      </c>
      <c r="E32" s="42">
        <f>'1. Customers'!$C$17*'Inputs'!$F$117</f>
        <v/>
      </c>
      <c r="F32" s="52">
        <f>'Inputs'!$F$122</f>
        <v/>
      </c>
      <c r="G32" s="42">
        <f>E32*F32</f>
        <v/>
      </c>
      <c r="H32" s="44">
        <f>G32*'3. HR &amp; Activity'!$C$6</f>
        <v/>
      </c>
      <c r="I32" s="51" t="inlineStr">
        <is>
          <t>LN-WP</t>
        </is>
      </c>
      <c r="J32" s="44">
        <f>H32*'Inputs'!$F$118</f>
        <v/>
      </c>
      <c r="K32" s="44">
        <f>H32*'Inputs'!$F$119</f>
        <v/>
      </c>
      <c r="L32" s="51" t="inlineStr">
        <is>
          <t>judgement</t>
        </is>
      </c>
    </row>
    <row r="33">
      <c r="B33" s="10" t="inlineStr">
        <is>
          <t>Recoveries &amp; workout — invoice finance</t>
        </is>
      </c>
      <c r="C33" s="51" t="inlineStr">
        <is>
          <t>inv</t>
        </is>
      </c>
      <c r="D33" s="10" t="inlineStr">
        <is>
          <t>Credit analyst</t>
        </is>
      </c>
      <c r="E33" s="42">
        <f>'1. Customers'!$C$18*'Inputs'!$F$117</f>
        <v/>
      </c>
      <c r="F33" s="52">
        <f>'Inputs'!$F$122</f>
        <v/>
      </c>
      <c r="G33" s="42">
        <f>E33*F33</f>
        <v/>
      </c>
      <c r="H33" s="44">
        <f>G33*'3. HR &amp; Activity'!$C$6</f>
        <v/>
      </c>
      <c r="I33" s="51" t="inlineStr">
        <is>
          <t>LN-WP</t>
        </is>
      </c>
      <c r="J33" s="44">
        <f>H33*'Inputs'!$F$118</f>
        <v/>
      </c>
      <c r="K33" s="44">
        <f>H33*'Inputs'!$F$119</f>
        <v/>
      </c>
      <c r="L33" s="51" t="inlineStr">
        <is>
          <t>judgement</t>
        </is>
      </c>
    </row>
    <row r="35">
      <c r="B35" s="7" t="inlineStr">
        <is>
          <t>FTE REQUIREMENT &amp; COST (customer load, L)</t>
        </is>
      </c>
      <c r="C35" s="8" t="inlineStr"/>
      <c r="D35" s="8" t="inlineStr"/>
      <c r="E35" s="8" t="inlineStr"/>
      <c r="F35" s="8" t="inlineStr"/>
      <c r="G35" s="8" t="inlineStr"/>
      <c r="H35" s="8" t="inlineStr"/>
    </row>
    <row r="36">
      <c r="B36" s="9" t="inlineStr">
        <is>
          <t>Role</t>
        </is>
      </c>
      <c r="C36" s="9" t="inlineStr"/>
      <c r="D36" s="9" t="inlineStr">
        <is>
          <t>FTEs</t>
        </is>
      </c>
      <c r="E36" s="9" t="inlineStr">
        <is>
          <t>Salary (£)</t>
        </is>
      </c>
      <c r="F36" s="9" t="inlineStr"/>
      <c r="G36" s="9" t="inlineStr"/>
      <c r="H36" s="9" t="inlineStr">
        <is>
          <t>Total cost (£/yr)</t>
        </is>
      </c>
    </row>
    <row r="37">
      <c r="B37" s="10" t="inlineStr">
        <is>
          <t>Relationship managers (portfolio-driven)</t>
        </is>
      </c>
      <c r="D37" s="53">
        <f>'1. Customers'!$C$5/'Inputs'!$F$25</f>
        <v/>
      </c>
      <c r="E37" s="48">
        <f>'Inputs'!$F$99</f>
        <v/>
      </c>
      <c r="H37" s="44">
        <f>D37*E37*(1+'Inputs'!$F$103)</f>
        <v/>
      </c>
    </row>
    <row r="38">
      <c r="B38" s="10" t="inlineStr">
        <is>
          <t>Credit analysts / underwriters (activity-driven)</t>
        </is>
      </c>
      <c r="D38" s="53">
        <f>SUMIF('3. HR &amp; Activity'!$D$11:$D$33,"Credit analyst",'3. HR &amp; Activity'!$G$11:$G$33)/'3. HR &amp; Activity'!$C$4</f>
        <v/>
      </c>
      <c r="E38" s="48">
        <f>'Inputs'!$F$100</f>
        <v/>
      </c>
      <c r="H38" s="44">
        <f>D38*E38*(1+'Inputs'!$F$103)</f>
        <v/>
      </c>
    </row>
    <row r="39">
      <c r="B39" s="10" t="inlineStr">
        <is>
          <t>Service &amp; operations (activity-driven)</t>
        </is>
      </c>
      <c r="D39" s="53">
        <f>SUMIF('3. HR &amp; Activity'!$D$11:$D$33,"Service &amp; ops",'3. HR &amp; Activity'!$G$11:$G$33)/'3. HR &amp; Activity'!$C$4</f>
        <v/>
      </c>
      <c r="E39" s="48">
        <f>'Inputs'!$F$101</f>
        <v/>
      </c>
      <c r="H39" s="44">
        <f>D39*E39*(1+'Inputs'!$F$103)</f>
        <v/>
      </c>
    </row>
    <row r="40">
      <c r="B40" s="10" t="inlineStr">
        <is>
          <t>Team managers (span-driven)</t>
        </is>
      </c>
      <c r="D40" s="53">
        <f>('3. HR &amp; Activity'!$D$37+'3. HR &amp; Activity'!$D$38+'3. HR &amp; Activity'!$D$39)/'Inputs'!$F$104</f>
        <v/>
      </c>
      <c r="E40" s="48">
        <f>'Inputs'!$F$102</f>
        <v/>
      </c>
      <c r="H40" s="44">
        <f>D40*E40*(1+'Inputs'!$F$103)</f>
        <v/>
      </c>
    </row>
    <row r="41">
      <c r="B41" s="49" t="inlineStr">
        <is>
          <t>TOTAL OPERATING-UNIT STAFF</t>
        </is>
      </c>
      <c r="D41" s="54">
        <f>'3. HR &amp; Activity'!$D$37+'3. HR &amp; Activity'!$D$38+'3. HR &amp; Activity'!$D$39+'3. HR &amp; Activity'!$D$40</f>
        <v/>
      </c>
      <c r="H41" s="45">
        <f>'3. HR &amp; Activity'!$H$37+'3. HR &amp; Activity'!$H$38+'3. HR &amp; Activity'!$H$39+'3. HR &amp; Activity'!$H$40</f>
        <v/>
      </c>
    </row>
    <row r="43">
      <c r="B43" s="5" t="inlineStr">
        <is>
          <t>Loaded hourly rates spread salary + on-costs over available hours; activity costs therefore reconcile exactly to analyst and service payroll.</t>
        </is>
      </c>
    </row>
    <row r="45">
      <c r="B45" s="7" t="inlineStr">
        <is>
          <t>THE RM SYSTEM — ORIGINATE / STEWARD / DEFEND (three activities, one system)</t>
        </is>
      </c>
      <c r="C45" s="8" t="inlineStr"/>
      <c r="D45" s="8" t="inlineStr"/>
      <c r="E45" s="8" t="inlineStr"/>
      <c r="F45" s="8" t="inlineStr"/>
      <c r="G45" s="8" t="inlineStr"/>
      <c r="H45" s="8" t="inlineStr"/>
    </row>
    <row r="46">
      <c r="B46" s="10" t="inlineStr">
        <is>
          <t>RM time &amp; cost — originate</t>
        </is>
      </c>
      <c r="D46" s="55">
        <f>'Inputs'!$F$162</f>
        <v/>
      </c>
      <c r="H46" s="44">
        <f>'3. HR &amp; Activity'!$H$37*'Inputs'!$F$162</f>
        <v/>
      </c>
    </row>
    <row r="47">
      <c r="B47" s="10" t="inlineStr">
        <is>
          <t>RM time &amp; cost — steward</t>
        </is>
      </c>
      <c r="D47" s="55">
        <f>'Inputs'!$F$163</f>
        <v/>
      </c>
      <c r="H47" s="44">
        <f>'3. HR &amp; Activity'!$H$37*'Inputs'!$F$163</f>
        <v/>
      </c>
    </row>
    <row r="48">
      <c r="B48" s="10" t="inlineStr">
        <is>
          <t>RM time &amp; cost — defend</t>
        </is>
      </c>
      <c r="D48" s="55">
        <f>'Inputs'!$F$164</f>
        <v/>
      </c>
      <c r="H48" s="44">
        <f>'3. HR &amp; Activity'!$H$37*'Inputs'!$F$164</f>
        <v/>
      </c>
    </row>
    <row r="50">
      <c r="B50" s="7" t="inlineStr">
        <is>
          <t>1. ORIGINATE — acquisition cost attributed per origination by relative effort</t>
        </is>
      </c>
      <c r="C50" s="8" t="inlineStr"/>
      <c r="D50" s="8" t="inlineStr"/>
      <c r="E50" s="8" t="inlineStr"/>
      <c r="F50" s="8" t="inlineStr"/>
      <c r="G50" s="8" t="inlineStr"/>
      <c r="H50" s="8" t="inlineStr"/>
    </row>
    <row r="51">
      <c r="B51" s="43" t="inlineStr">
        <is>
          <t>Product</t>
        </is>
      </c>
      <c r="C51" s="43" t="inlineStr"/>
      <c r="D51" s="43" t="inlineStr">
        <is>
          <t>Originations / renewals p.a.</t>
        </is>
      </c>
      <c r="E51" s="43" t="inlineStr">
        <is>
          <t>Effort weight</t>
        </is>
      </c>
      <c r="F51" s="43" t="inlineStr">
        <is>
          <t>Weighted volume</t>
        </is>
      </c>
      <c r="G51" s="43" t="inlineStr">
        <is>
          <t>RM cost attributed (£/yr)</t>
        </is>
      </c>
      <c r="H51" s="43" t="inlineStr">
        <is>
          <t>Cost per unit on book (£/yr)</t>
        </is>
      </c>
    </row>
    <row r="52">
      <c r="B52" s="10" t="inlineStr">
        <is>
          <t>Term loans (new)</t>
        </is>
      </c>
      <c r="D52" s="42">
        <f>'1. Customers'!$C$16/'Inputs'!$F$41</f>
        <v/>
      </c>
      <c r="E52" s="56">
        <f>'Inputs'!$F$158</f>
        <v/>
      </c>
      <c r="F52" s="53">
        <f>D52*E52</f>
        <v/>
      </c>
      <c r="G52" s="44">
        <f>F52/SUM(F52:F55)*'3. HR &amp; Activity'!$H$46</f>
        <v/>
      </c>
      <c r="H52" s="44">
        <f>G52/'1. Customers'!$C$16</f>
        <v/>
      </c>
    </row>
    <row r="53">
      <c r="B53" s="10" t="inlineStr">
        <is>
          <t>Asset finance (new)</t>
        </is>
      </c>
      <c r="D53" s="42">
        <f>'1. Customers'!$C$17/'Inputs'!$F$44</f>
        <v/>
      </c>
      <c r="E53" s="56">
        <f>'Inputs'!$F$159</f>
        <v/>
      </c>
      <c r="F53" s="53">
        <f>D53*E53</f>
        <v/>
      </c>
      <c r="G53" s="44">
        <f>F53/SUM(F52:F55)*'3. HR &amp; Activity'!$H$46</f>
        <v/>
      </c>
      <c r="H53" s="44">
        <f>G53/'1. Customers'!$C$17</f>
        <v/>
      </c>
    </row>
    <row r="54">
      <c r="B54" s="10" t="inlineStr">
        <is>
          <t>Invoice finance (new clients)</t>
        </is>
      </c>
      <c r="D54" s="42">
        <f>'1. Customers'!$C$18/'Inputs'!$F$47</f>
        <v/>
      </c>
      <c r="E54" s="56">
        <f>'Inputs'!$F$160</f>
        <v/>
      </c>
      <c r="F54" s="53">
        <f>D54*E54</f>
        <v/>
      </c>
      <c r="G54" s="44">
        <f>F54/SUM(F52:F55)*'3. HR &amp; Activity'!$H$46</f>
        <v/>
      </c>
      <c r="H54" s="44">
        <f>G54/'1. Customers'!$C$18</f>
        <v/>
      </c>
    </row>
    <row r="55">
      <c r="B55" s="10" t="inlineStr">
        <is>
          <t>Overdrafts (annual renewals)</t>
        </is>
      </c>
      <c r="D55" s="42">
        <f>'1. Customers'!$C$15</f>
        <v/>
      </c>
      <c r="E55" s="56">
        <f>'Inputs'!$F$161</f>
        <v/>
      </c>
      <c r="F55" s="53">
        <f>D55*E55</f>
        <v/>
      </c>
      <c r="G55" s="44">
        <f>F55/SUM(F52:F55)*'3. HR &amp; Activity'!$H$46</f>
        <v/>
      </c>
      <c r="H55" s="44">
        <f>G55/'1. Customers'!$C$15</f>
        <v/>
      </c>
    </row>
    <row r="56">
      <c r="B56" s="49" t="inlineStr">
        <is>
          <t>TOTAL RM ORIGINATION COST ATTRIBUTED</t>
        </is>
      </c>
      <c r="G56" s="45">
        <f>SUM(G52:G55)</f>
        <v/>
      </c>
    </row>
    <row r="57">
      <c r="B57" s="10" t="inlineStr">
        <is>
          <t>RM origination cost per weighted origination</t>
        </is>
      </c>
      <c r="G57" s="44">
        <f>'3. HR &amp; Activity'!$H$46/SUM(F52:F55)</f>
        <v/>
      </c>
      <c r="H57" s="14" t="inlineStr">
        <is>
          <t>The return-on-RM-time yardstick: compare to lifetime contribution of the products sold</t>
        </is>
      </c>
    </row>
    <row r="59">
      <c r="B59" s="7" t="inlineStr">
        <is>
          <t>2. STEWARD — attributed to lending products pro-rata balances; pays back through lower PDs (tab 5)</t>
        </is>
      </c>
      <c r="C59" s="8" t="inlineStr"/>
      <c r="D59" s="8" t="inlineStr"/>
      <c r="E59" s="8" t="inlineStr"/>
      <c r="F59" s="8" t="inlineStr"/>
      <c r="G59" s="8" t="inlineStr"/>
      <c r="H59" s="8" t="inlineStr"/>
    </row>
    <row r="60">
      <c r="B60" s="43" t="inlineStr">
        <is>
          <t>Product</t>
        </is>
      </c>
      <c r="C60" s="43" t="inlineStr"/>
      <c r="D60" s="43" t="inlineStr">
        <is>
          <t>Balances (£)</t>
        </is>
      </c>
      <c r="E60" s="43" t="inlineStr">
        <is>
          <t>Share</t>
        </is>
      </c>
      <c r="F60" s="43" t="inlineStr"/>
      <c r="G60" s="43" t="inlineStr">
        <is>
          <t>Stewardship cost (£/yr)</t>
        </is>
      </c>
      <c r="H60" s="43" t="inlineStr">
        <is>
          <t>Per unit (£/yr)</t>
        </is>
      </c>
    </row>
    <row r="61">
      <c r="B61" s="10" t="inlineStr">
        <is>
          <t>Overdrafts</t>
        </is>
      </c>
      <c r="D61" s="48">
        <f>'1. Customers'!$E$15</f>
        <v/>
      </c>
      <c r="E61" s="46">
        <f>'1. Customers'!$E$15/('1. Customers'!$E$15+'1. Customers'!$E$16+'1. Customers'!$E$17+'1. Customers'!$E$18)</f>
        <v/>
      </c>
      <c r="G61" s="44">
        <f>E61*'3. HR &amp; Activity'!$H$47</f>
        <v/>
      </c>
      <c r="H61" s="44">
        <f>G61/'1. Customers'!$C$15</f>
        <v/>
      </c>
    </row>
    <row r="62">
      <c r="B62" s="10" t="inlineStr">
        <is>
          <t>Term loans</t>
        </is>
      </c>
      <c r="D62" s="48">
        <f>'1. Customers'!$E$16</f>
        <v/>
      </c>
      <c r="E62" s="46">
        <f>'1. Customers'!$E$16/('1. Customers'!$E$15+'1. Customers'!$E$16+'1. Customers'!$E$17+'1. Customers'!$E$18)</f>
        <v/>
      </c>
      <c r="G62" s="44">
        <f>E62*'3. HR &amp; Activity'!$H$47</f>
        <v/>
      </c>
      <c r="H62" s="44">
        <f>G62/'1. Customers'!$C$16</f>
        <v/>
      </c>
    </row>
    <row r="63">
      <c r="B63" s="10" t="inlineStr">
        <is>
          <t>Asset finance</t>
        </is>
      </c>
      <c r="D63" s="48">
        <f>'1. Customers'!$E$17</f>
        <v/>
      </c>
      <c r="E63" s="46">
        <f>'1. Customers'!$E$17/('1. Customers'!$E$15+'1. Customers'!$E$16+'1. Customers'!$E$17+'1. Customers'!$E$18)</f>
        <v/>
      </c>
      <c r="G63" s="44">
        <f>E63*'3. HR &amp; Activity'!$H$47</f>
        <v/>
      </c>
      <c r="H63" s="44">
        <f>G63/'1. Customers'!$C$17</f>
        <v/>
      </c>
    </row>
    <row r="64">
      <c r="B64" s="10" t="inlineStr">
        <is>
          <t>Invoice finance</t>
        </is>
      </c>
      <c r="D64" s="48">
        <f>'1. Customers'!$E$18</f>
        <v/>
      </c>
      <c r="E64" s="46">
        <f>'1. Customers'!$E$18/('1. Customers'!$E$15+'1. Customers'!$E$16+'1. Customers'!$E$17+'1. Customers'!$E$18)</f>
        <v/>
      </c>
      <c r="G64" s="44">
        <f>E64*'3. HR &amp; Activity'!$H$47</f>
        <v/>
      </c>
      <c r="H64" s="44">
        <f>G64/'1. Customers'!$C$18</f>
        <v/>
      </c>
    </row>
    <row r="65">
      <c r="B65" s="10" t="inlineStr">
        <is>
          <t>Memo: expected losses avoided by stewardship (tab 5 PD reduction)</t>
        </is>
      </c>
      <c r="G65" s="44">
        <f>('1. Customers'!$E$15*'Inputs'!$F$77*'Inputs'!$F$78+'1. Customers'!$E$16*'Inputs'!$F$79*'Inputs'!$F$80+'1. Customers'!$E$17*'Inputs'!$F$81*'Inputs'!$F$82+'1. Customers'!$E$18*'Inputs'!$F$83*'Inputs'!$F$84)*'Inputs'!$F$166*'Inputs'!$F$165</f>
        <v/>
      </c>
      <c r="H65" s="14" t="inlineStr">
        <is>
          <t>Compare to stewardship cost above — excludes unpriced benefits (recovery quality, origination signals)</t>
        </is>
      </c>
    </row>
    <row r="67">
      <c r="B67" s="7" t="inlineStr">
        <is>
          <t>3. DEFEND — tested retention spend, held at centre level (not product-allocated)</t>
        </is>
      </c>
      <c r="C67" s="8" t="inlineStr"/>
      <c r="D67" s="8" t="inlineStr"/>
      <c r="E67" s="8" t="inlineStr"/>
      <c r="F67" s="8" t="inlineStr"/>
      <c r="G67" s="8" t="inlineStr"/>
      <c r="H67" s="8" t="inlineStr"/>
    </row>
    <row r="68">
      <c r="B68" s="10" t="inlineStr">
        <is>
          <t>Defence cost (RM time on retention)</t>
        </is>
      </c>
      <c r="G68" s="48">
        <f>'3. HR &amp; Activity'!$H$48</f>
        <v/>
      </c>
    </row>
    <row r="69">
      <c r="B69" s="10" t="inlineStr">
        <is>
          <t>Customers defended per year (churn reduction — validate with holdouts)</t>
        </is>
      </c>
      <c r="G69" s="57">
        <f>'1. Customers'!$C$7</f>
        <v/>
      </c>
    </row>
    <row r="70">
      <c r="B70" s="14" t="inlineStr">
        <is>
          <t>Value of defended relationships: see memo under the bridge on tab 6 (contribution × remaining life)</t>
        </is>
      </c>
    </row>
  </sheetData>
  <mergeCells count="1">
    <mergeCell ref="B43:H4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E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50" customWidth="1" min="2" max="2"/>
    <col width="15" customWidth="1" min="3" max="3"/>
    <col width="12" customWidth="1" min="4" max="4"/>
    <col width="70" customWidth="1" min="5" max="5"/>
  </cols>
  <sheetData>
    <row r="1">
      <c r="B1" s="1" t="inlineStr">
        <is>
          <t>STEP 2 (CONT.) — TOTAL RUNNING COSTS OF THE OPERATING UNIT</t>
        </is>
      </c>
    </row>
    <row r="3">
      <c r="B3" s="10" t="inlineStr">
        <is>
          <t>Unit HR cost (from HR &amp; Activity sheet)</t>
        </is>
      </c>
      <c r="C3" s="48">
        <f>'3. HR &amp; Activity'!$H$41</f>
        <v/>
      </c>
    </row>
    <row r="4">
      <c r="B4" s="10" t="inlineStr">
        <is>
          <t>Premises &amp; facilities</t>
        </is>
      </c>
      <c r="C4" s="44">
        <f>'3. HR &amp; Activity'!$D$41*'Inputs'!$F$125</f>
        <v/>
      </c>
      <c r="E4" s="14" t="inlineStr">
        <is>
          <t>FTEs × cost per FTE</t>
        </is>
      </c>
    </row>
    <row r="5">
      <c r="B5" s="10" t="inlineStr">
        <is>
          <t>Equipment &amp; fit-out depreciation</t>
        </is>
      </c>
      <c r="C5" s="44">
        <f>'3. HR &amp; Activity'!$D$41*'Inputs'!$F$126</f>
        <v/>
      </c>
    </row>
    <row r="6">
      <c r="B6" s="10" t="inlineStr">
        <is>
          <t>Other direct running costs</t>
        </is>
      </c>
      <c r="C6" s="44">
        <f>'4. Running Costs'!$C$3*'Inputs'!$F$127</f>
        <v/>
      </c>
      <c r="E6" s="14" t="inlineStr">
        <is>
          <t>Travel, training, sundry — % of HR</t>
        </is>
      </c>
    </row>
    <row r="7">
      <c r="B7" s="10" t="inlineStr">
        <is>
          <t>Unit-level platform &amp; processing</t>
        </is>
      </c>
      <c r="C7" s="44">
        <f>'1. Customers'!$C$4*'Inputs'!$F$128</f>
        <v/>
      </c>
      <c r="E7" s="14" t="inlineStr">
        <is>
          <t>Per-customer core banking &amp; payments processing</t>
        </is>
      </c>
    </row>
    <row r="8">
      <c r="B8" s="10" t="inlineStr">
        <is>
          <t>Fraud &amp; payment losses (incl. APP reimbursement)</t>
        </is>
      </c>
      <c r="C8" s="44">
        <f>'Inputs'!$F$141*'1. Customers'!$C$12</f>
        <v/>
      </c>
      <c r="E8" s="14" t="inlineStr">
        <is>
          <t>Driver: current accounts — the payment-carrying product</t>
        </is>
      </c>
    </row>
    <row r="9">
      <c r="B9" s="10" t="inlineStr">
        <is>
          <t>FSCS deposit-protection levy</t>
        </is>
      </c>
      <c r="C9" s="44">
        <f>('1. Customers'!$E$12+'1. Customers'!$E$13+'1. Customers'!$E$14)*'Inputs'!$F$143*'Inputs'!$F$142</f>
        <v/>
      </c>
      <c r="E9" s="14" t="inlineStr">
        <is>
          <t>Driver: FSCS-protected deposit balances</t>
        </is>
      </c>
    </row>
    <row r="10">
      <c r="B10" s="40" t="inlineStr">
        <is>
          <t>TOTAL DIRECT RUNNING COSTS</t>
        </is>
      </c>
      <c r="C10" s="45">
        <f>'4. Running Costs'!$C$3+'4. Running Costs'!$C$4+'4. Running Costs'!$C$5+'4. Running Costs'!$C$6+'4. Running Costs'!$C$7+'4. Running Costs'!$C$8+'4. Running Costs'!$C$9</f>
        <v/>
      </c>
    </row>
    <row r="12">
      <c r="B12" s="7" t="inlineStr">
        <is>
          <t>SHARE OF HEAD-OFFICE RUNNING COSTS</t>
        </is>
      </c>
      <c r="C12" s="8" t="inlineStr"/>
      <c r="D12" s="8" t="inlineStr"/>
      <c r="E12" s="8" t="inlineStr"/>
    </row>
    <row r="13">
      <c r="B13" s="10" t="inlineStr">
        <is>
          <t>Technology &amp; central operations</t>
        </is>
      </c>
      <c r="C13" s="44">
        <f>'1. Customers'!$C$4*'Inputs'!$F$129</f>
        <v/>
      </c>
    </row>
    <row r="14">
      <c r="B14" s="10" t="inlineStr">
        <is>
          <t>Risk, compliance, financial crime &amp; audit</t>
        </is>
      </c>
      <c r="C14" s="44">
        <f>'1. Customers'!$C$4*'Inputs'!$F$130</f>
        <v/>
      </c>
    </row>
    <row r="15">
      <c r="B15" s="10" t="inlineStr">
        <is>
          <t>Finance, HR, exec, brand &amp; marketing</t>
        </is>
      </c>
      <c r="C15" s="44">
        <f>'1. Customers'!$C$4*'Inputs'!$F$131</f>
        <v/>
      </c>
    </row>
    <row r="16">
      <c r="B16" s="40" t="inlineStr">
        <is>
          <t>TOTAL HEAD-OFFICE ALLOCATION</t>
        </is>
      </c>
      <c r="C16" s="45">
        <f>'4. Running Costs'!$C$13+'4. Running Costs'!$C$14+'4. Running Costs'!$C$15</f>
        <v/>
      </c>
    </row>
    <row r="18">
      <c r="B18" s="40" t="inlineStr">
        <is>
          <t>Change-the-bank / transformation (portfolio hurdle — no product driver)</t>
        </is>
      </c>
      <c r="C18" s="58">
        <f>'1. Customers'!$C$4*'Inputs'!$F$144</f>
        <v/>
      </c>
      <c r="E18" s="14" t="inlineStr">
        <is>
          <t>Regulatory change + tech transformation; held unallocated like joint costs</t>
        </is>
      </c>
    </row>
    <row r="19">
      <c r="B19" s="40" t="inlineStr">
        <is>
          <t>TOTAL OPERATING COSTS (unit + HO share + change)</t>
        </is>
      </c>
      <c r="C19" s="45">
        <f>'4. Running Costs'!$C$10+'4. Running Costs'!$C$16+'4. Running Costs'!$C$18</f>
        <v/>
      </c>
    </row>
    <row r="20">
      <c r="B20" s="40" t="inlineStr">
        <is>
          <t>Operating cost per customer</t>
        </is>
      </c>
      <c r="C20" s="26">
        <f>'4. Running Costs'!$C$19/'1. Customers'!$C$4</f>
        <v/>
      </c>
    </row>
    <row r="22">
      <c r="B22" s="7" t="inlineStr">
        <is>
          <t>COST ATTRIBUTION MEMO (ABC to the causality limit — see Unit Economics tab)</t>
        </is>
      </c>
      <c r="C22" s="8" t="inlineStr"/>
      <c r="D22" s="8" t="inlineStr"/>
      <c r="E22" s="8" t="inlineStr"/>
    </row>
    <row r="23">
      <c r="B23" s="10" t="inlineStr">
        <is>
          <t>RM cost (attributed to lending products as acquisition cost)</t>
        </is>
      </c>
      <c r="C23" s="48">
        <f>'3. HR &amp; Activity'!$H$37</f>
        <v/>
      </c>
    </row>
    <row r="24">
      <c r="B24" s="10" t="inlineStr">
        <is>
          <t>Activity-driven servicing cost (analyst + service payroll)</t>
        </is>
      </c>
      <c r="C24" s="44">
        <f>'3. HR &amp; Activity'!$H$38+'3. HR &amp; Activity'!$H$39</f>
        <v/>
      </c>
    </row>
    <row r="25">
      <c r="B25" s="10" t="inlineStr">
        <is>
          <t>Supervision &amp; workplace pool (managers, premises, depreciation, other)</t>
        </is>
      </c>
      <c r="C25" s="44">
        <f>'3. HR &amp; Activity'!$H$40+'4. Running Costs'!$C$4+'4. Running Costs'!$C$5+'4. Running Costs'!$C$6</f>
        <v/>
      </c>
      <c r="E25" s="14" t="inlineStr">
        <is>
          <t>Driver: staff time — follows each product's share of servicing + RM cost</t>
        </is>
      </c>
    </row>
    <row r="26">
      <c r="B26" s="10" t="inlineStr">
        <is>
          <t>Head-office tech attributed by driver (payments, core banking, credit systems)</t>
        </is>
      </c>
      <c r="C26" s="44">
        <f>'Inputs'!$F$136*'1. Customers'!$C$12+'Inputs'!$F$137*'1. Customers'!$C$24+'Inputs'!$F$138*'1. Customers'!$C$25</f>
        <v/>
      </c>
    </row>
    <row r="27">
      <c r="B27" s="10" t="inlineStr">
        <is>
          <t>Head-office risk attributed by driver (KYC onboarding + refresh)</t>
        </is>
      </c>
      <c r="C27" s="44">
        <f>'Inputs'!$F$134*'1. Customers'!$C$8+'Inputs'!$F$135*'1. Customers'!$C$4</f>
        <v/>
      </c>
    </row>
    <row r="28">
      <c r="B28" s="40" t="inlineStr">
        <is>
          <t>UNALLOCATED JOINT COSTS (brand, exec, finance, platform build, pool remainders)</t>
        </is>
      </c>
      <c r="C28" s="58">
        <f>'4. Running Costs'!$C$16-'4. Running Costs'!$C$26-'4. Running Costs'!$C$27</f>
        <v/>
      </c>
      <c r="E28" s="14" t="inlineStr">
        <is>
          <t>No causal driver exists — held as a portfolio hurdle, not forced into products (source doc allocates these by simple division, not activity)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I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36" customWidth="1" min="2" max="2"/>
    <col width="16" customWidth="1" min="3" max="3"/>
    <col width="10" customWidth="1" min="4" max="4"/>
    <col width="13" customWidth="1" min="5" max="5"/>
    <col width="10" customWidth="1" min="6" max="6"/>
    <col width="15" customWidth="1" min="7" max="7"/>
    <col width="13" customWidth="1" min="8" max="8"/>
    <col width="55" customWidth="1" min="9" max="9"/>
  </cols>
  <sheetData>
    <row r="1">
      <c r="B1" s="1" t="inlineStr">
        <is>
          <t>STEP 3 — INVESTMENT COSTS: EXPECTED LOSSES, CAPITAL &amp; REQUIRED RETURN</t>
        </is>
      </c>
    </row>
    <row r="3">
      <c r="B3" s="7" t="inlineStr">
        <is>
          <t>EXPECTED CREDIT LOSSES</t>
        </is>
      </c>
      <c r="C3" s="8" t="inlineStr"/>
      <c r="D3" s="8" t="inlineStr"/>
      <c r="E3" s="8" t="inlineStr"/>
      <c r="F3" s="8" t="inlineStr"/>
      <c r="G3" s="8" t="inlineStr"/>
      <c r="H3" s="8" t="inlineStr"/>
    </row>
    <row r="4">
      <c r="B4" s="43" t="inlineStr">
        <is>
          <t>Lending product</t>
        </is>
      </c>
      <c r="C4" s="43" t="inlineStr">
        <is>
          <t>Total balances (£)</t>
        </is>
      </c>
      <c r="D4" s="43" t="inlineStr">
        <is>
          <t>Gross PD</t>
        </is>
      </c>
      <c r="E4" s="43" t="inlineStr">
        <is>
          <t>Effective PD (after RM stewardship)</t>
        </is>
      </c>
      <c r="F4" s="43" t="inlineStr">
        <is>
          <t>LGD</t>
        </is>
      </c>
      <c r="G4" s="43" t="inlineStr">
        <is>
          <t>Expected loss (£/yr)</t>
        </is>
      </c>
      <c r="H4" s="43" t="inlineStr">
        <is>
          <t>EL per unit (£)</t>
        </is>
      </c>
    </row>
    <row r="5">
      <c r="B5" s="10" t="inlineStr">
        <is>
          <t>Business overdrafts</t>
        </is>
      </c>
      <c r="C5" s="48">
        <f>'1. Customers'!$E$15</f>
        <v/>
      </c>
      <c r="D5" s="59">
        <f>'Inputs'!$F$77</f>
        <v/>
      </c>
      <c r="E5" s="16">
        <f>D5*(1-'Inputs'!$F$166*'Inputs'!$F$165)</f>
        <v/>
      </c>
      <c r="F5" s="55">
        <f>'Inputs'!$F$78</f>
        <v/>
      </c>
      <c r="G5" s="44">
        <f>C5*E5*F5</f>
        <v/>
      </c>
      <c r="H5" s="44">
        <f>G5/'1. Customers'!$C$15</f>
        <v/>
      </c>
    </row>
    <row r="6">
      <c r="B6" s="10" t="inlineStr">
        <is>
          <t>Term loans &amp; comm. mortgages</t>
        </is>
      </c>
      <c r="C6" s="48">
        <f>'1. Customers'!$E$16</f>
        <v/>
      </c>
      <c r="D6" s="59">
        <f>'Inputs'!$F$79</f>
        <v/>
      </c>
      <c r="E6" s="16">
        <f>D6*(1-'Inputs'!$F$166*'Inputs'!$F$165)</f>
        <v/>
      </c>
      <c r="F6" s="55">
        <f>'Inputs'!$F$80</f>
        <v/>
      </c>
      <c r="G6" s="44">
        <f>C6*E6*F6</f>
        <v/>
      </c>
      <c r="H6" s="44">
        <f>G6/'1. Customers'!$C$16</f>
        <v/>
      </c>
    </row>
    <row r="7">
      <c r="B7" s="10" t="inlineStr">
        <is>
          <t>Asset finance</t>
        </is>
      </c>
      <c r="C7" s="48">
        <f>'1. Customers'!$E$17</f>
        <v/>
      </c>
      <c r="D7" s="59">
        <f>'Inputs'!$F$81</f>
        <v/>
      </c>
      <c r="E7" s="16">
        <f>D7*(1-'Inputs'!$F$166*'Inputs'!$F$165)</f>
        <v/>
      </c>
      <c r="F7" s="55">
        <f>'Inputs'!$F$82</f>
        <v/>
      </c>
      <c r="G7" s="44">
        <f>C7*E7*F7</f>
        <v/>
      </c>
      <c r="H7" s="44">
        <f>G7/'1. Customers'!$C$17</f>
        <v/>
      </c>
    </row>
    <row r="8">
      <c r="B8" s="10" t="inlineStr">
        <is>
          <t>Invoice finance</t>
        </is>
      </c>
      <c r="C8" s="48">
        <f>'1. Customers'!$E$18</f>
        <v/>
      </c>
      <c r="D8" s="59">
        <f>'Inputs'!$F$83</f>
        <v/>
      </c>
      <c r="E8" s="16">
        <f>D8*(1-'Inputs'!$F$166*'Inputs'!$F$165)</f>
        <v/>
      </c>
      <c r="F8" s="55">
        <f>'Inputs'!$F$84</f>
        <v/>
      </c>
      <c r="G8" s="44">
        <f>C8*E8*F8</f>
        <v/>
      </c>
      <c r="H8" s="44">
        <f>G8/'1. Customers'!$C$18</f>
        <v/>
      </c>
    </row>
    <row r="9">
      <c r="B9" s="10" t="inlineStr">
        <is>
          <t>Business credit cards</t>
        </is>
      </c>
      <c r="C9" s="48">
        <f>'1. Customers'!$E$19</f>
        <v/>
      </c>
      <c r="D9" s="59">
        <f>'Inputs'!$F$85</f>
        <v/>
      </c>
      <c r="E9" s="16">
        <f>D9</f>
        <v/>
      </c>
      <c r="F9" s="55">
        <f>'Inputs'!$F$86</f>
        <v/>
      </c>
      <c r="G9" s="44">
        <f>C9*E9*F9</f>
        <v/>
      </c>
      <c r="H9" s="44">
        <f>G9/'1. Customers'!$C$19</f>
        <v/>
      </c>
    </row>
    <row r="10">
      <c r="B10" s="49" t="inlineStr">
        <is>
          <t>TOTAL EXPECTED LOSSES</t>
        </is>
      </c>
      <c r="G10" s="45">
        <f>SUM(G5:G9)</f>
        <v/>
      </c>
    </row>
    <row r="11">
      <c r="B11" s="5" t="inlineStr">
        <is>
          <t>Effective PD = gross PD × (1 − stewardship PD reduction × RM-covered share of balances). Cards are unmanaged, so uncovered.</t>
        </is>
      </c>
    </row>
    <row r="13">
      <c r="B13" s="7" t="inlineStr">
        <is>
          <t>CAPITAL &amp; REQUIRED RETURN</t>
        </is>
      </c>
      <c r="C13" s="8" t="inlineStr"/>
      <c r="D13" s="8" t="inlineStr"/>
      <c r="E13" s="8" t="inlineStr"/>
      <c r="F13" s="8" t="inlineStr"/>
      <c r="G13" s="8" t="inlineStr"/>
      <c r="H13" s="8" t="inlineStr"/>
    </row>
    <row r="14">
      <c r="B14" s="10" t="inlineStr">
        <is>
          <t>Credit risk-weighted assets</t>
        </is>
      </c>
      <c r="C14" s="44">
        <f>'1. Customers'!$E$15*'Inputs'!$F$87+'1. Customers'!$E$16*'Inputs'!$F$88+'1. Customers'!$E$17*'Inputs'!$F$89+'1. Customers'!$E$18*'Inputs'!$F$90+'1. Customers'!$E$19*'Inputs'!$F$91</f>
        <v/>
      </c>
      <c r="I14" s="14" t="inlineStr">
        <is>
          <t>Balances × risk weights</t>
        </is>
      </c>
    </row>
    <row r="15">
      <c r="B15" s="10" t="inlineStr">
        <is>
          <t>Operational risk-weighted assets</t>
        </is>
      </c>
      <c r="C15" s="44">
        <f>'2. Revenues'!$M$14*'Inputs'!$F$92</f>
        <v/>
      </c>
      <c r="I15" s="14" t="inlineStr">
        <is>
          <t>Basic-indicator proxy: gross income × 1.875</t>
        </is>
      </c>
    </row>
    <row r="16">
      <c r="B16" s="40" t="inlineStr">
        <is>
          <t>TOTAL RWAs</t>
        </is>
      </c>
      <c r="C16" s="45">
        <f>'5. Risk &amp; Capital'!$C$14+'5. Risk &amp; Capital'!$C$15</f>
        <v/>
      </c>
    </row>
    <row r="17">
      <c r="B17" s="40" t="inlineStr">
        <is>
          <t>Equity allocated to the operating unit</t>
        </is>
      </c>
      <c r="C17" s="45">
        <f>'5. Risk &amp; Capital'!$C$16*'Inputs'!$F$93</f>
        <v/>
      </c>
      <c r="I17" s="14" t="inlineStr">
        <is>
          <t>RWAs × capital ratio</t>
        </is>
      </c>
    </row>
    <row r="18">
      <c r="B18" s="10" t="inlineStr">
        <is>
          <t>Equity investment benefit (equity earns Bank Rate)</t>
        </is>
      </c>
      <c r="C18" s="44">
        <f>'5. Risk &amp; Capital'!$C$17*'Inputs'!$F$8</f>
        <v/>
      </c>
      <c r="I18" s="14" t="inlineStr">
        <is>
          <t>Added to income in the P&amp;L — equity funds assets so it earns the transfer price</t>
        </is>
      </c>
    </row>
    <row r="19">
      <c r="B19" s="10" t="inlineStr">
        <is>
          <t>Required return on equity (pre-tax equivalent shown post-tax in P&amp;L)</t>
        </is>
      </c>
      <c r="C19" s="44">
        <f>'5. Risk &amp; Capital'!$C$17*'Inputs'!$F$94</f>
        <v/>
      </c>
      <c r="I19" s="14" t="inlineStr">
        <is>
          <t>Equity × cost of equity — the Simanis 'second-level investment cost'</t>
        </is>
      </c>
    </row>
  </sheetData>
  <mergeCells count="1">
    <mergeCell ref="B11:H1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L42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2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</cols>
  <sheetData>
    <row r="1">
      <c r="B1" s="1" t="inlineStr">
        <is>
          <t>STEPS 4 &amp; 5 — WHOLE-COST UNIT ECONOMICS BY PRODUCT</t>
        </is>
      </c>
    </row>
    <row r="2">
      <c r="B2" s="14" t="inlineStr">
        <is>
          <t>Per account / facility / user per year. Whole cost = expected loss + servicing + RM + allocated overhead; economic profit is after a charge for shareholder capital.</t>
        </is>
      </c>
    </row>
    <row r="4">
      <c r="B4" s="40" t="inlineStr"/>
      <c r="C4" s="43" t="inlineStr">
        <is>
          <t>Current accounts</t>
        </is>
      </c>
      <c r="D4" s="43" t="inlineStr">
        <is>
          <t>Instant savings</t>
        </is>
      </c>
      <c r="E4" s="43" t="inlineStr">
        <is>
          <t>Notice &amp; fixed deposits</t>
        </is>
      </c>
      <c r="F4" s="43" t="inlineStr">
        <is>
          <t>Overdrafts</t>
        </is>
      </c>
      <c r="G4" s="43" t="inlineStr">
        <is>
          <t>Term loans</t>
        </is>
      </c>
      <c r="H4" s="43" t="inlineStr">
        <is>
          <t>Asset finance</t>
        </is>
      </c>
      <c r="I4" s="43" t="inlineStr">
        <is>
          <t>Invoice finance</t>
        </is>
      </c>
      <c r="J4" s="43" t="inlineStr">
        <is>
          <t>Credit cards</t>
        </is>
      </c>
      <c r="K4" s="43" t="inlineStr">
        <is>
          <t>Payments &amp; FX</t>
        </is>
      </c>
      <c r="L4" s="43" t="inlineStr">
        <is>
          <t>TOTAL / blended</t>
        </is>
      </c>
    </row>
    <row r="5">
      <c r="B5" s="51" t="inlineStr">
        <is>
          <t>(product key)</t>
        </is>
      </c>
      <c r="C5" s="60" t="inlineStr">
        <is>
          <t>bca</t>
        </is>
      </c>
      <c r="D5" s="60" t="inlineStr">
        <is>
          <t>sav</t>
        </is>
      </c>
      <c r="E5" s="60" t="inlineStr">
        <is>
          <t>dep</t>
        </is>
      </c>
      <c r="F5" s="60" t="inlineStr">
        <is>
          <t>od</t>
        </is>
      </c>
      <c r="G5" s="60" t="inlineStr">
        <is>
          <t>loan</t>
        </is>
      </c>
      <c r="H5" s="60" t="inlineStr">
        <is>
          <t>af</t>
        </is>
      </c>
      <c r="I5" s="60" t="inlineStr">
        <is>
          <t>inv</t>
        </is>
      </c>
      <c r="J5" s="60" t="inlineStr">
        <is>
          <t>card</t>
        </is>
      </c>
      <c r="K5" s="60" t="inlineStr">
        <is>
          <t>fx</t>
        </is>
      </c>
    </row>
    <row r="6">
      <c r="B6" s="10" t="inlineStr">
        <is>
          <t>Units (accounts / facilities / users)</t>
        </is>
      </c>
      <c r="C6" s="47">
        <f>'1. Customers'!$C$12</f>
        <v/>
      </c>
      <c r="D6" s="47">
        <f>'1. Customers'!$C$13</f>
        <v/>
      </c>
      <c r="E6" s="47">
        <f>'1. Customers'!$C$14</f>
        <v/>
      </c>
      <c r="F6" s="47">
        <f>'1. Customers'!$C$15</f>
        <v/>
      </c>
      <c r="G6" s="47">
        <f>'1. Customers'!$C$16</f>
        <v/>
      </c>
      <c r="H6" s="47">
        <f>'1. Customers'!$C$17</f>
        <v/>
      </c>
      <c r="I6" s="47">
        <f>'1. Customers'!$C$18</f>
        <v/>
      </c>
      <c r="J6" s="47">
        <f>'1. Customers'!$C$19</f>
        <v/>
      </c>
      <c r="K6" s="47">
        <f>'1. Customers'!$C$20</f>
        <v/>
      </c>
      <c r="L6" s="22">
        <f>SUM(C6:K6)</f>
        <v/>
      </c>
    </row>
    <row r="7">
      <c r="B7" s="10" t="inlineStr">
        <is>
          <t>Average balance per unit</t>
        </is>
      </c>
      <c r="C7" s="48">
        <f>'1. Customers'!$D$12</f>
        <v/>
      </c>
      <c r="D7" s="48">
        <f>'1. Customers'!$D$13</f>
        <v/>
      </c>
      <c r="E7" s="48">
        <f>'1. Customers'!$D$14</f>
        <v/>
      </c>
      <c r="F7" s="48">
        <f>'1. Customers'!$D$15</f>
        <v/>
      </c>
      <c r="G7" s="48">
        <f>'1. Customers'!$D$16</f>
        <v/>
      </c>
      <c r="H7" s="48">
        <f>'1. Customers'!$D$17</f>
        <v/>
      </c>
      <c r="I7" s="48">
        <f>'1. Customers'!$D$18</f>
        <v/>
      </c>
      <c r="J7" s="48">
        <f>'1. Customers'!$D$19</f>
        <v/>
      </c>
      <c r="K7" s="48">
        <f>'1. Customers'!$D$20</f>
        <v/>
      </c>
    </row>
    <row r="8">
      <c r="B8" s="10" t="inlineStr">
        <is>
          <t>Revenue per unit</t>
        </is>
      </c>
      <c r="C8" s="48">
        <f>'2. Revenues'!$J$5</f>
        <v/>
      </c>
      <c r="D8" s="48">
        <f>'2. Revenues'!$J$6</f>
        <v/>
      </c>
      <c r="E8" s="48">
        <f>'2. Revenues'!$J$7</f>
        <v/>
      </c>
      <c r="F8" s="48">
        <f>'2. Revenues'!$J$8</f>
        <v/>
      </c>
      <c r="G8" s="48">
        <f>'2. Revenues'!$J$9</f>
        <v/>
      </c>
      <c r="H8" s="48">
        <f>'2. Revenues'!$J$10</f>
        <v/>
      </c>
      <c r="I8" s="48">
        <f>'2. Revenues'!$J$11</f>
        <v/>
      </c>
      <c r="J8" s="48">
        <f>'2. Revenues'!$J$12</f>
        <v/>
      </c>
      <c r="K8" s="48">
        <f>'2. Revenues'!$J$13</f>
        <v/>
      </c>
      <c r="L8" s="44">
        <f>'2. Revenues'!$M$14/L6</f>
        <v/>
      </c>
    </row>
    <row r="9">
      <c r="B9" s="10" t="inlineStr">
        <is>
          <t>Expected credit loss per unit</t>
        </is>
      </c>
      <c r="C9" s="44">
        <f>0</f>
        <v/>
      </c>
      <c r="D9" s="44">
        <f>0</f>
        <v/>
      </c>
      <c r="E9" s="44">
        <f>0</f>
        <v/>
      </c>
      <c r="F9" s="44">
        <f>'5. Risk &amp; Capital'!$G$5/'1. Customers'!$C$15</f>
        <v/>
      </c>
      <c r="G9" s="44">
        <f>'5. Risk &amp; Capital'!$G$6/'1. Customers'!$C$16</f>
        <v/>
      </c>
      <c r="H9" s="44">
        <f>'5. Risk &amp; Capital'!$G$7/'1. Customers'!$C$17</f>
        <v/>
      </c>
      <c r="I9" s="44">
        <f>'5. Risk &amp; Capital'!$G$8/'1. Customers'!$C$18</f>
        <v/>
      </c>
      <c r="J9" s="44">
        <f>'5. Risk &amp; Capital'!$G$9/'1. Customers'!$C$19</f>
        <v/>
      </c>
      <c r="K9" s="44">
        <f>0</f>
        <v/>
      </c>
      <c r="L9" s="44">
        <f>'5. Risk &amp; Capital'!$G$10/L6</f>
        <v/>
      </c>
    </row>
    <row r="10">
      <c r="B10" s="10" t="inlineStr">
        <is>
          <t>Servicing cost per unit (activity-driven, tab 3)</t>
        </is>
      </c>
      <c r="C10" s="44">
        <f>SUMIF('3. HR &amp; Activity'!$C$11:$C$33,C5,'3. HR &amp; Activity'!$H$11:$H$33)/'1. Customers'!$C$12</f>
        <v/>
      </c>
      <c r="D10" s="44">
        <f>SUMIF('3. HR &amp; Activity'!$C$11:$C$33,D5,'3. HR &amp; Activity'!$H$11:$H$33)/'1. Customers'!$C$13</f>
        <v/>
      </c>
      <c r="E10" s="44">
        <f>SUMIF('3. HR &amp; Activity'!$C$11:$C$33,E5,'3. HR &amp; Activity'!$H$11:$H$33)/'1. Customers'!$C$14</f>
        <v/>
      </c>
      <c r="F10" s="44">
        <f>SUMIF('3. HR &amp; Activity'!$C$11:$C$33,F5,'3. HR &amp; Activity'!$H$11:$H$33)/'1. Customers'!$C$15</f>
        <v/>
      </c>
      <c r="G10" s="44">
        <f>SUMIF('3. HR &amp; Activity'!$C$11:$C$33,G5,'3. HR &amp; Activity'!$H$11:$H$33)/'1. Customers'!$C$16</f>
        <v/>
      </c>
      <c r="H10" s="44">
        <f>SUMIF('3. HR &amp; Activity'!$C$11:$C$33,H5,'3. HR &amp; Activity'!$H$11:$H$33)/'1. Customers'!$C$17</f>
        <v/>
      </c>
      <c r="I10" s="44">
        <f>SUMIF('3. HR &amp; Activity'!$C$11:$C$33,I5,'3. HR &amp; Activity'!$H$11:$H$33)/'1. Customers'!$C$18</f>
        <v/>
      </c>
      <c r="J10" s="44">
        <f>SUMIF('3. HR &amp; Activity'!$C$11:$C$33,J5,'3. HR &amp; Activity'!$H$11:$H$33)/'1. Customers'!$C$19</f>
        <v/>
      </c>
      <c r="K10" s="44">
        <f>SUMIF('3. HR &amp; Activity'!$C$11:$C$33,K5,'3. HR &amp; Activity'!$H$11:$H$33)/'1. Customers'!$C$20</f>
        <v/>
      </c>
      <c r="L10" s="44">
        <f>'4. Running Costs'!$C$24/L6</f>
        <v/>
      </c>
    </row>
    <row r="11">
      <c r="B11" s="10" t="inlineStr">
        <is>
          <t>RM origination (CAC) per unit (per origination, tab 3)</t>
        </is>
      </c>
      <c r="C11" s="44">
        <f>0</f>
        <v/>
      </c>
      <c r="D11" s="44">
        <f>0</f>
        <v/>
      </c>
      <c r="E11" s="44">
        <f>0</f>
        <v/>
      </c>
      <c r="F11" s="44">
        <f>'3. HR &amp; Activity'!$G$55/'1. Customers'!$C$15</f>
        <v/>
      </c>
      <c r="G11" s="44">
        <f>'3. HR &amp; Activity'!$G$52/'1. Customers'!$C$16</f>
        <v/>
      </c>
      <c r="H11" s="44">
        <f>'3. HR &amp; Activity'!$G$53/'1. Customers'!$C$17</f>
        <v/>
      </c>
      <c r="I11" s="44">
        <f>'3. HR &amp; Activity'!$G$54/'1. Customers'!$C$18</f>
        <v/>
      </c>
      <c r="J11" s="44">
        <f>0</f>
        <v/>
      </c>
      <c r="K11" s="44">
        <f>0</f>
        <v/>
      </c>
      <c r="L11" s="44">
        <f>'3. HR &amp; Activity'!$H$46/L6</f>
        <v/>
      </c>
    </row>
    <row r="12">
      <c r="B12" s="10" t="inlineStr">
        <is>
          <t>RM stewardship per unit (pro-rata covered balances, tab 3)</t>
        </is>
      </c>
      <c r="C12" s="44">
        <f>0</f>
        <v/>
      </c>
      <c r="D12" s="44">
        <f>0</f>
        <v/>
      </c>
      <c r="E12" s="44">
        <f>0</f>
        <v/>
      </c>
      <c r="F12" s="44">
        <f>'3. HR &amp; Activity'!$G$61/'1. Customers'!$C$15</f>
        <v/>
      </c>
      <c r="G12" s="44">
        <f>'3. HR &amp; Activity'!$G$62/'1. Customers'!$C$16</f>
        <v/>
      </c>
      <c r="H12" s="44">
        <f>'3. HR &amp; Activity'!$G$63/'1. Customers'!$C$17</f>
        <v/>
      </c>
      <c r="I12" s="44">
        <f>'3. HR &amp; Activity'!$G$64/'1. Customers'!$C$18</f>
        <v/>
      </c>
      <c r="J12" s="44">
        <f>0</f>
        <v/>
      </c>
      <c r="K12" s="44">
        <f>0</f>
        <v/>
      </c>
      <c r="L12" s="44">
        <f>'3. HR &amp; Activity'!$H$47/L6</f>
        <v/>
      </c>
    </row>
    <row r="13">
      <c r="B13" s="10" t="inlineStr">
        <is>
          <t>Supervision &amp; workplace per unit (driver: staff time)</t>
        </is>
      </c>
      <c r="C13" s="44">
        <f>'4. Running Costs'!$C$25*(SUMIF('3. HR &amp; Activity'!$C$11:$C$33,C5,'3. HR &amp; Activity'!$H$11:$H$33))/('4. Running Costs'!$C$24+'3. HR &amp; Activity'!$H$46+'3. HR &amp; Activity'!$H$47)/'1. Customers'!$C$12</f>
        <v/>
      </c>
      <c r="D13" s="44">
        <f>'4. Running Costs'!$C$25*(SUMIF('3. HR &amp; Activity'!$C$11:$C$33,D5,'3. HR &amp; Activity'!$H$11:$H$33))/('4. Running Costs'!$C$24+'3. HR &amp; Activity'!$H$46+'3. HR &amp; Activity'!$H$47)/'1. Customers'!$C$13</f>
        <v/>
      </c>
      <c r="E13" s="44">
        <f>'4. Running Costs'!$C$25*(SUMIF('3. HR &amp; Activity'!$C$11:$C$33,E5,'3. HR &amp; Activity'!$H$11:$H$33))/('4. Running Costs'!$C$24+'3. HR &amp; Activity'!$H$46+'3. HR &amp; Activity'!$H$47)/'1. Customers'!$C$14</f>
        <v/>
      </c>
      <c r="F13" s="44">
        <f>'4. Running Costs'!$C$25*(SUMIF('3. HR &amp; Activity'!$C$11:$C$33,F5,'3. HR &amp; Activity'!$H$11:$H$33)+'3. HR &amp; Activity'!$G$55+'3. HR &amp; Activity'!$G$61)/('4. Running Costs'!$C$24+'3. HR &amp; Activity'!$H$46+'3. HR &amp; Activity'!$H$47)/'1. Customers'!$C$15</f>
        <v/>
      </c>
      <c r="G13" s="44">
        <f>'4. Running Costs'!$C$25*(SUMIF('3. HR &amp; Activity'!$C$11:$C$33,G5,'3. HR &amp; Activity'!$H$11:$H$33)+'3. HR &amp; Activity'!$G$52+'3. HR &amp; Activity'!$G$62)/('4. Running Costs'!$C$24+'3. HR &amp; Activity'!$H$46+'3. HR &amp; Activity'!$H$47)/'1. Customers'!$C$16</f>
        <v/>
      </c>
      <c r="H13" s="44">
        <f>'4. Running Costs'!$C$25*(SUMIF('3. HR &amp; Activity'!$C$11:$C$33,H5,'3. HR &amp; Activity'!$H$11:$H$33)+'3. HR &amp; Activity'!$G$53+'3. HR &amp; Activity'!$G$63)/('4. Running Costs'!$C$24+'3. HR &amp; Activity'!$H$46+'3. HR &amp; Activity'!$H$47)/'1. Customers'!$C$17</f>
        <v/>
      </c>
      <c r="I13" s="44">
        <f>'4. Running Costs'!$C$25*(SUMIF('3. HR &amp; Activity'!$C$11:$C$33,I5,'3. HR &amp; Activity'!$H$11:$H$33)+'3. HR &amp; Activity'!$G$54+'3. HR &amp; Activity'!$G$64)/('4. Running Costs'!$C$24+'3. HR &amp; Activity'!$H$46+'3. HR &amp; Activity'!$H$47)/'1. Customers'!$C$18</f>
        <v/>
      </c>
      <c r="J13" s="44">
        <f>'4. Running Costs'!$C$25*(SUMIF('3. HR &amp; Activity'!$C$11:$C$33,J5,'3. HR &amp; Activity'!$H$11:$H$33))/('4. Running Costs'!$C$24+'3. HR &amp; Activity'!$H$46+'3. HR &amp; Activity'!$H$47)/'1. Customers'!$C$19</f>
        <v/>
      </c>
      <c r="K13" s="44">
        <f>'4. Running Costs'!$C$25*(SUMIF('3. HR &amp; Activity'!$C$11:$C$33,K5,'3. HR &amp; Activity'!$H$11:$H$33))/('4. Running Costs'!$C$24+'3. HR &amp; Activity'!$H$46+'3. HR &amp; Activity'!$H$47)/'1. Customers'!$C$20</f>
        <v/>
      </c>
      <c r="L13" s="44">
        <f>'4. Running Costs'!$C$25/L6</f>
        <v/>
      </c>
    </row>
    <row r="14">
      <c r="B14" s="10" t="inlineStr">
        <is>
          <t>Customer &amp; account infrastructure per unit (driver-based)</t>
        </is>
      </c>
      <c r="C14" s="44">
        <f>'Inputs'!$F$128+'Inputs'!$F$137+'Inputs'!$F$136+'Inputs'!$F$135+'Inputs'!$F$134*'1. Customers'!$C$8/'1. Customers'!$C$12</f>
        <v/>
      </c>
      <c r="D14" s="44">
        <f>'Inputs'!$F$137</f>
        <v/>
      </c>
      <c r="E14" s="44">
        <f>'Inputs'!$F$137</f>
        <v/>
      </c>
      <c r="F14" s="44">
        <f>'Inputs'!$F$137+'Inputs'!$F$138</f>
        <v/>
      </c>
      <c r="G14" s="44">
        <f>'Inputs'!$F$137+'Inputs'!$F$138</f>
        <v/>
      </c>
      <c r="H14" s="44">
        <f>'Inputs'!$F$137+'Inputs'!$F$138</f>
        <v/>
      </c>
      <c r="I14" s="44">
        <f>'Inputs'!$F$137+'Inputs'!$F$138</f>
        <v/>
      </c>
      <c r="J14" s="44">
        <f>'Inputs'!$F$137+'Inputs'!$F$138</f>
        <v/>
      </c>
      <c r="K14" s="44">
        <f>0</f>
        <v/>
      </c>
      <c r="L14" s="44">
        <f>('4. Running Costs'!$C$7+'4. Running Costs'!$C$26+'4. Running Costs'!$C$27)/L6</f>
        <v/>
      </c>
    </row>
    <row r="15">
      <c r="B15" s="10" t="inlineStr">
        <is>
          <t>Fraud &amp; payment losses per unit (driver: current accounts)</t>
        </is>
      </c>
      <c r="C15" s="44">
        <f>'Inputs'!$F$141</f>
        <v/>
      </c>
      <c r="D15" s="44">
        <f>0</f>
        <v/>
      </c>
      <c r="E15" s="44">
        <f>0</f>
        <v/>
      </c>
      <c r="F15" s="44">
        <f>0</f>
        <v/>
      </c>
      <c r="G15" s="44">
        <f>0</f>
        <v/>
      </c>
      <c r="H15" s="44">
        <f>0</f>
        <v/>
      </c>
      <c r="I15" s="44">
        <f>0</f>
        <v/>
      </c>
      <c r="J15" s="44">
        <f>0</f>
        <v/>
      </c>
      <c r="K15" s="44">
        <f>0</f>
        <v/>
      </c>
      <c r="L15" s="44">
        <f>'4. Running Costs'!$C$8/L6</f>
        <v/>
      </c>
    </row>
    <row r="16">
      <c r="B16" s="10" t="inlineStr">
        <is>
          <t>FSCS levy per unit (driver: protected deposits)</t>
        </is>
      </c>
      <c r="C16" s="44">
        <f>'1. Customers'!$D$12*'Inputs'!$F$143*'Inputs'!$F$142</f>
        <v/>
      </c>
      <c r="D16" s="44">
        <f>'1. Customers'!$D$13*'Inputs'!$F$143*'Inputs'!$F$142</f>
        <v/>
      </c>
      <c r="E16" s="44">
        <f>'1. Customers'!$D$14*'Inputs'!$F$143*'Inputs'!$F$142</f>
        <v/>
      </c>
      <c r="F16" s="44">
        <f>0</f>
        <v/>
      </c>
      <c r="G16" s="44">
        <f>0</f>
        <v/>
      </c>
      <c r="H16" s="44">
        <f>0</f>
        <v/>
      </c>
      <c r="I16" s="44">
        <f>0</f>
        <v/>
      </c>
      <c r="J16" s="44">
        <f>0</f>
        <v/>
      </c>
      <c r="K16" s="44">
        <f>0</f>
        <v/>
      </c>
      <c r="L16" s="44">
        <f>'4. Running Costs'!$C$9/L6</f>
        <v/>
      </c>
    </row>
    <row r="17">
      <c r="B17" s="49" t="inlineStr">
        <is>
          <t>ATTRIBUTABLE COST PER UNIT (EL + servicing + RM orig + RM steward + supervision + infrastructure + fraud + levies)</t>
        </is>
      </c>
      <c r="C17" s="45">
        <f>C9+C10+C11+C12+C13+C14+C15+C16</f>
        <v/>
      </c>
      <c r="D17" s="45">
        <f>D9+D10+D11+D12+D13+D14+D15+D16</f>
        <v/>
      </c>
      <c r="E17" s="45">
        <f>E9+E10+E11+E12+E13+E14+E15+E16</f>
        <v/>
      </c>
      <c r="F17" s="45">
        <f>F9+F10+F11+F12+F13+F14+F15+F16</f>
        <v/>
      </c>
      <c r="G17" s="45">
        <f>G9+G10+G11+G12+G13+G14+G15+G16</f>
        <v/>
      </c>
      <c r="H17" s="45">
        <f>H9+H10+H11+H12+H13+H14+H15+H16</f>
        <v/>
      </c>
      <c r="I17" s="45">
        <f>I9+I10+I11+I12+I13+I14+I15+I16</f>
        <v/>
      </c>
      <c r="J17" s="45">
        <f>J9+J10+J11+J12+J13+J14+J15+J16</f>
        <v/>
      </c>
      <c r="K17" s="45">
        <f>K9+K10+K11+K12+K13+K14+K15+K16</f>
        <v/>
      </c>
      <c r="L17" s="45">
        <f>L9+L10+L11+L12+L13+L14+L15+L16</f>
        <v/>
      </c>
    </row>
    <row r="18">
      <c r="B18" s="40" t="inlineStr">
        <is>
          <t>CONTRIBUTION PER UNIT (revenue − attributable cost)</t>
        </is>
      </c>
      <c r="C18" s="26">
        <f>C8-C17</f>
        <v/>
      </c>
      <c r="D18" s="26">
        <f>D8-D17</f>
        <v/>
      </c>
      <c r="E18" s="26">
        <f>E8-E17</f>
        <v/>
      </c>
      <c r="F18" s="26">
        <f>F8-F17</f>
        <v/>
      </c>
      <c r="G18" s="26">
        <f>G8-G17</f>
        <v/>
      </c>
      <c r="H18" s="26">
        <f>H8-H17</f>
        <v/>
      </c>
      <c r="I18" s="26">
        <f>I8-I17</f>
        <v/>
      </c>
      <c r="J18" s="26">
        <f>J8-J17</f>
        <v/>
      </c>
      <c r="K18" s="26">
        <f>K8-K17</f>
        <v/>
      </c>
      <c r="L18" s="26">
        <f>L8-L17</f>
        <v/>
      </c>
    </row>
    <row r="19">
      <c r="B19" s="10" t="inlineStr">
        <is>
          <t>Allocated equity per unit (credit + op-risk RWA × capital ratio)</t>
        </is>
      </c>
      <c r="C19" s="44">
        <f>'Inputs'!$F$92*C8*'Inputs'!$F$93</f>
        <v/>
      </c>
      <c r="D19" s="44">
        <f>'Inputs'!$F$92*D8*'Inputs'!$F$93</f>
        <v/>
      </c>
      <c r="E19" s="44">
        <f>'Inputs'!$F$92*E8*'Inputs'!$F$93</f>
        <v/>
      </c>
      <c r="F19" s="44">
        <f>('1. Customers'!$D$15*'Inputs'!$F$87+'Inputs'!$F$92*F8)*'Inputs'!$F$93</f>
        <v/>
      </c>
      <c r="G19" s="44">
        <f>('1. Customers'!$D$16*'Inputs'!$F$88+'Inputs'!$F$92*G8)*'Inputs'!$F$93</f>
        <v/>
      </c>
      <c r="H19" s="44">
        <f>('1. Customers'!$D$17*'Inputs'!$F$89+'Inputs'!$F$92*H8)*'Inputs'!$F$93</f>
        <v/>
      </c>
      <c r="I19" s="44">
        <f>('1. Customers'!$D$18*'Inputs'!$F$90+'Inputs'!$F$92*I8)*'Inputs'!$F$93</f>
        <v/>
      </c>
      <c r="J19" s="44">
        <f>('1. Customers'!$D$19*'Inputs'!$F$91+'Inputs'!$F$92*J8)*'Inputs'!$F$93</f>
        <v/>
      </c>
      <c r="K19" s="44">
        <f>'Inputs'!$F$92*K8*'Inputs'!$F$93</f>
        <v/>
      </c>
    </row>
    <row r="20">
      <c r="B20" s="10" t="inlineStr">
        <is>
          <t>Net capital charge per unit (equity × (CoE − Bank Rate))</t>
        </is>
      </c>
      <c r="C20" s="44">
        <f>C19*('Inputs'!$F$94-'Inputs'!$F$8)</f>
        <v/>
      </c>
      <c r="D20" s="44">
        <f>D19*('Inputs'!$F$94-'Inputs'!$F$8)</f>
        <v/>
      </c>
      <c r="E20" s="44">
        <f>E19*('Inputs'!$F$94-'Inputs'!$F$8)</f>
        <v/>
      </c>
      <c r="F20" s="44">
        <f>F19*('Inputs'!$F$94-'Inputs'!$F$8)</f>
        <v/>
      </c>
      <c r="G20" s="44">
        <f>G19*('Inputs'!$F$94-'Inputs'!$F$8)</f>
        <v/>
      </c>
      <c r="H20" s="44">
        <f>H19*('Inputs'!$F$94-'Inputs'!$F$8)</f>
        <v/>
      </c>
      <c r="I20" s="44">
        <f>I19*('Inputs'!$F$94-'Inputs'!$F$8)</f>
        <v/>
      </c>
      <c r="J20" s="44">
        <f>J19*('Inputs'!$F$94-'Inputs'!$F$8)</f>
        <v/>
      </c>
      <c r="K20" s="44">
        <f>K19*('Inputs'!$F$94-'Inputs'!$F$8)</f>
        <v/>
      </c>
    </row>
    <row r="21">
      <c r="B21" s="49" t="inlineStr">
        <is>
          <t>ECONOMIC CONTRIBUTION PER UNIT (pre-tax, before joint costs)</t>
        </is>
      </c>
      <c r="C21" s="45">
        <f>C18-C20</f>
        <v/>
      </c>
      <c r="D21" s="45">
        <f>D18-D20</f>
        <v/>
      </c>
      <c r="E21" s="45">
        <f>E18-E20</f>
        <v/>
      </c>
      <c r="F21" s="45">
        <f>F18-F20</f>
        <v/>
      </c>
      <c r="G21" s="45">
        <f>G18-G20</f>
        <v/>
      </c>
      <c r="H21" s="45">
        <f>H18-H20</f>
        <v/>
      </c>
      <c r="I21" s="45">
        <f>I18-I20</f>
        <v/>
      </c>
      <c r="J21" s="45">
        <f>J18-J20</f>
        <v/>
      </c>
      <c r="K21" s="45">
        <f>K18-K20</f>
        <v/>
      </c>
    </row>
    <row r="22">
      <c r="B22" s="10" t="inlineStr">
        <is>
          <t>Economic contribution margin (% of revenue)</t>
        </is>
      </c>
      <c r="C22" s="46">
        <f>IF(C8=0,0,C21/C8)</f>
        <v/>
      </c>
      <c r="D22" s="46">
        <f>IF(D8=0,0,D21/D8)</f>
        <v/>
      </c>
      <c r="E22" s="46">
        <f>IF(E8=0,0,E21/E8)</f>
        <v/>
      </c>
      <c r="F22" s="46">
        <f>IF(F8=0,0,F21/F8)</f>
        <v/>
      </c>
      <c r="G22" s="46">
        <f>IF(G8=0,0,G21/G8)</f>
        <v/>
      </c>
      <c r="H22" s="46">
        <f>IF(H8=0,0,H21/H8)</f>
        <v/>
      </c>
      <c r="I22" s="46">
        <f>IF(I8=0,0,I21/I8)</f>
        <v/>
      </c>
      <c r="J22" s="46">
        <f>IF(J8=0,0,J21/J8)</f>
        <v/>
      </c>
      <c r="K22" s="46">
        <f>IF(K8=0,0,K21/K8)</f>
        <v/>
      </c>
    </row>
    <row r="23">
      <c r="B23" s="40" t="inlineStr">
        <is>
          <t>Total contribution (£/yr)</t>
        </is>
      </c>
      <c r="C23" s="26">
        <f>C18*C6</f>
        <v/>
      </c>
      <c r="D23" s="26">
        <f>D18*D6</f>
        <v/>
      </c>
      <c r="E23" s="26">
        <f>E18*E6</f>
        <v/>
      </c>
      <c r="F23" s="26">
        <f>F18*F6</f>
        <v/>
      </c>
      <c r="G23" s="26">
        <f>G18*G6</f>
        <v/>
      </c>
      <c r="H23" s="26">
        <f>H18*H6</f>
        <v/>
      </c>
      <c r="I23" s="26">
        <f>I18*I6</f>
        <v/>
      </c>
      <c r="J23" s="26">
        <f>J18*J6</f>
        <v/>
      </c>
      <c r="K23" s="26">
        <f>K18*K6</f>
        <v/>
      </c>
      <c r="L23" s="45">
        <f>SUM(C23:K23)</f>
        <v/>
      </c>
    </row>
    <row r="24">
      <c r="B24" s="40" t="inlineStr">
        <is>
          <t>Total economic contribution (£/yr)</t>
        </is>
      </c>
      <c r="C24" s="26">
        <f>C21*C6</f>
        <v/>
      </c>
      <c r="D24" s="26">
        <f>D21*D6</f>
        <v/>
      </c>
      <c r="E24" s="26">
        <f>E21*E6</f>
        <v/>
      </c>
      <c r="F24" s="26">
        <f>F21*F6</f>
        <v/>
      </c>
      <c r="G24" s="26">
        <f>G21*G6</f>
        <v/>
      </c>
      <c r="H24" s="26">
        <f>H21*H6</f>
        <v/>
      </c>
      <c r="I24" s="26">
        <f>I21*I6</f>
        <v/>
      </c>
      <c r="J24" s="26">
        <f>J21*J6</f>
        <v/>
      </c>
      <c r="K24" s="26">
        <f>K21*K6</f>
        <v/>
      </c>
      <c r="L24" s="45">
        <f>SUM(C24:K24)</f>
        <v/>
      </c>
    </row>
    <row r="26">
      <c r="B26" s="7" t="inlineStr">
        <is>
          <t>BRIDGE TO THE UNIT P&amp;L</t>
        </is>
      </c>
      <c r="C26" s="8" t="inlineStr"/>
      <c r="D26" s="8" t="inlineStr"/>
      <c r="E26" s="8" t="inlineStr"/>
      <c r="F26" s="8" t="inlineStr"/>
      <c r="G26" s="8" t="inlineStr"/>
      <c r="H26" s="8" t="inlineStr"/>
      <c r="I26" s="8" t="inlineStr"/>
      <c r="J26" s="8" t="inlineStr"/>
      <c r="K26" s="8" t="inlineStr"/>
      <c r="L26" s="8" t="inlineStr"/>
    </row>
    <row r="27">
      <c r="B27" s="10" t="inlineStr">
        <is>
          <t>Total contribution across products</t>
        </is>
      </c>
      <c r="C27" s="44">
        <f>L23</f>
        <v/>
      </c>
    </row>
    <row r="28">
      <c r="B28" s="10" t="inlineStr">
        <is>
          <t>Less: RM defence (tested retention spend, held at centre level)</t>
        </is>
      </c>
      <c r="C28" s="44">
        <f>-'3. HR &amp; Activity'!$H$48</f>
        <v/>
      </c>
    </row>
    <row r="29">
      <c r="B29" s="10" t="inlineStr">
        <is>
          <t>Less: unallocated joint costs (no causal driver — brand, exec, finance, platform build)</t>
        </is>
      </c>
      <c r="C29" s="44">
        <f>-'4. Running Costs'!$C$28</f>
        <v/>
      </c>
    </row>
    <row r="30">
      <c r="B30" s="10" t="inlineStr">
        <is>
          <t>Less: change-the-bank / transformation (portfolio hurdle — no product driver)</t>
        </is>
      </c>
      <c r="C30" s="44">
        <f>-'4. Running Costs'!$C$18</f>
        <v/>
      </c>
    </row>
    <row r="31">
      <c r="B31" s="49" t="inlineStr">
        <is>
          <t>Operating profit before capital charges</t>
        </is>
      </c>
      <c r="C31" s="45">
        <f>C27+C28+C29+C30</f>
        <v/>
      </c>
    </row>
    <row r="32">
      <c r="B32" s="10" t="inlineStr">
        <is>
          <t>Check vs P&amp;L (income excl. equity benefit − EL − opex) — should be zero</t>
        </is>
      </c>
      <c r="C32" s="44">
        <f>C31-('2. Revenues'!$M$14-'5. Risk &amp; Capital'!$G$10-'4. Running Costs'!$C$19)</f>
        <v/>
      </c>
      <c r="D32" s="14" t="inlineStr">
        <is>
          <t>✓ ties out</t>
        </is>
      </c>
    </row>
    <row r="33">
      <c r="B33" s="10" t="inlineStr">
        <is>
          <t>Memo — RM system payback: defence value (defended customers × contribution/customer × remaining life + avoided onboarding)</t>
        </is>
      </c>
      <c r="C33" s="44">
        <f>'1. Customers'!$C$7*(C27/'1. Customers'!$C$4*'Inputs'!$F$168+'Inputs'!$F$105*'3. HR &amp; Activity'!$C$7+'Inputs'!$F$134)</f>
        <v/>
      </c>
      <c r="D33" s="14" t="inlineStr">
        <is>
          <t>vs defence cost:</t>
        </is>
      </c>
      <c r="E33" s="48">
        <f>'3. HR &amp; Activity'!$H$48</f>
        <v/>
      </c>
    </row>
    <row r="34">
      <c r="B34" s="10" t="inlineStr">
        <is>
          <t>Memo — stewardship payback: expected losses avoided (tab 3) vs stewardship cost</t>
        </is>
      </c>
      <c r="C34" s="48">
        <f>'3. HR &amp; Activity'!$G$65</f>
        <v/>
      </c>
      <c r="D34" s="14" t="inlineStr">
        <is>
          <t>vs stewardship cost:</t>
        </is>
      </c>
      <c r="E34" s="48">
        <f>'3. HR &amp; Activity'!$H$47</f>
        <v/>
      </c>
    </row>
    <row r="36">
      <c r="B36" s="7" t="inlineStr">
        <is>
          <t>MEMO — FULL ABSORPTION PER SOURCE METHODOLOGY (joint costs spread per unit, as the IFC doc divides head-office costs)</t>
        </is>
      </c>
      <c r="C36" s="8" t="inlineStr"/>
      <c r="D36" s="8" t="inlineStr"/>
      <c r="E36" s="8" t="inlineStr"/>
      <c r="F36" s="8" t="inlineStr"/>
      <c r="G36" s="8" t="inlineStr"/>
      <c r="H36" s="8" t="inlineStr"/>
      <c r="I36" s="8" t="inlineStr"/>
      <c r="J36" s="8" t="inlineStr"/>
      <c r="K36" s="8" t="inlineStr"/>
      <c r="L36" s="8" t="inlineStr"/>
    </row>
    <row r="37">
      <c r="B37" s="10" t="inlineStr">
        <is>
          <t>Joint cost absorbed per unit (flat per-unit spread)</t>
        </is>
      </c>
      <c r="C37" s="44">
        <f>'4. Running Costs'!$C$28/L6</f>
        <v/>
      </c>
      <c r="D37" s="44">
        <f>'4. Running Costs'!$C$28/L6</f>
        <v/>
      </c>
      <c r="E37" s="44">
        <f>'4. Running Costs'!$C$28/L6</f>
        <v/>
      </c>
      <c r="F37" s="44">
        <f>'4. Running Costs'!$C$28/L6</f>
        <v/>
      </c>
      <c r="G37" s="44">
        <f>'4. Running Costs'!$C$28/L6</f>
        <v/>
      </c>
      <c r="H37" s="44">
        <f>'4. Running Costs'!$C$28/L6</f>
        <v/>
      </c>
      <c r="I37" s="44">
        <f>'4. Running Costs'!$C$28/L6</f>
        <v/>
      </c>
      <c r="J37" s="44">
        <f>'4. Running Costs'!$C$28/L6</f>
        <v/>
      </c>
      <c r="K37" s="44">
        <f>'4. Running Costs'!$C$28/L6</f>
        <v/>
      </c>
      <c r="L37" s="44">
        <f>'4. Running Costs'!$C$28/L6</f>
        <v/>
      </c>
    </row>
    <row r="38">
      <c r="B38" s="10" t="inlineStr">
        <is>
          <t>Fully-absorbed profit per unit (contribution − joint absorption)</t>
        </is>
      </c>
      <c r="C38" s="44">
        <f>C18-C37</f>
        <v/>
      </c>
      <c r="D38" s="44">
        <f>D18-D37</f>
        <v/>
      </c>
      <c r="E38" s="44">
        <f>E18-E37</f>
        <v/>
      </c>
      <c r="F38" s="44">
        <f>F18-F37</f>
        <v/>
      </c>
      <c r="G38" s="44">
        <f>G18-G37</f>
        <v/>
      </c>
      <c r="H38" s="44">
        <f>H18-H37</f>
        <v/>
      </c>
      <c r="I38" s="44">
        <f>I18-I37</f>
        <v/>
      </c>
      <c r="J38" s="44">
        <f>J18-J37</f>
        <v/>
      </c>
      <c r="K38" s="44">
        <f>K18-K37</f>
        <v/>
      </c>
    </row>
    <row r="40">
      <c r="B40" s="5" t="inlineStr">
        <is>
          <t>Cost treatment follows the source methodology's own hybrid: activity drivers wherever a causal link to customers or transactions exists ('whenever possible' — Simanis IFC Technical Doc Part II), head-office residuals without a driver held as an unallocated share rather than forced into products. Product decisions should run on CONTRIBUTION (it changes when the decision changes); the full-absorption memo shows required pricing coverage.</t>
        </is>
      </c>
    </row>
    <row r="41"/>
    <row r="42"/>
  </sheetData>
  <mergeCells count="1">
    <mergeCell ref="B40:L4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E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52" customWidth="1" min="2" max="2"/>
    <col width="16" customWidth="1" min="3" max="3"/>
    <col width="13" customWidth="1" min="4" max="4"/>
    <col width="66" customWidth="1" min="5" max="5"/>
  </cols>
  <sheetData>
    <row r="1">
      <c r="B1" s="1" t="inlineStr">
        <is>
          <t>STEP 5 — WHOLE-COST P&amp;L: ONE OPERATING UNIT AT STEADY STATE</t>
        </is>
      </c>
    </row>
    <row r="3">
      <c r="B3" s="10" t="inlineStr">
        <is>
          <t>Net interest income (vs funds transfer price)</t>
        </is>
      </c>
      <c r="C3" s="44">
        <f>'2. Revenues'!$K$14</f>
        <v/>
      </c>
    </row>
    <row r="4">
      <c r="B4" s="10" t="inlineStr">
        <is>
          <t>Fee &amp; commission income</t>
        </is>
      </c>
      <c r="C4" s="44">
        <f>'2. Revenues'!$L$14</f>
        <v/>
      </c>
    </row>
    <row r="5">
      <c r="B5" s="10" t="inlineStr">
        <is>
          <t>Equity investment benefit</t>
        </is>
      </c>
      <c r="C5" s="44">
        <f>'5. Risk &amp; Capital'!$C$18</f>
        <v/>
      </c>
      <c r="E5" s="5" t="inlineStr">
        <is>
          <t>Allocated equity earning Bank Rate</t>
        </is>
      </c>
    </row>
    <row r="6">
      <c r="B6" s="49" t="inlineStr">
        <is>
          <t>TOTAL OPERATING INCOME</t>
        </is>
      </c>
      <c r="C6" s="45">
        <f>'7. P&amp;L'!$C$3+'7. P&amp;L'!$C$4+'7. P&amp;L'!$C$5</f>
        <v/>
      </c>
    </row>
    <row r="7">
      <c r="B7" s="10" t="inlineStr">
        <is>
          <t>Expected credit losses</t>
        </is>
      </c>
      <c r="C7" s="44">
        <f>-'5. Risk &amp; Capital'!$G$10</f>
        <v/>
      </c>
    </row>
    <row r="8">
      <c r="B8" s="49" t="inlineStr">
        <is>
          <t>NET OPERATING INCOME</t>
        </is>
      </c>
      <c r="C8" s="45">
        <f>'7. P&amp;L'!$C$6+'7. P&amp;L'!$C$7</f>
        <v/>
      </c>
    </row>
    <row r="9">
      <c r="B9" s="10" t="inlineStr">
        <is>
          <t>Staff costs (unit)</t>
        </is>
      </c>
      <c r="C9" s="44">
        <f>-'4. Running Costs'!$C$3</f>
        <v/>
      </c>
    </row>
    <row r="10">
      <c r="B10" s="10" t="inlineStr">
        <is>
          <t>Premises &amp; depreciation</t>
        </is>
      </c>
      <c r="C10" s="44">
        <f>-'4. Running Costs'!$C$4-'4. Running Costs'!$C$5</f>
        <v/>
      </c>
    </row>
    <row r="11">
      <c r="B11" s="10" t="inlineStr">
        <is>
          <t>Other direct costs &amp; unit platform</t>
        </is>
      </c>
      <c r="C11" s="44">
        <f>-'4. Running Costs'!$C$6-'4. Running Costs'!$C$7</f>
        <v/>
      </c>
    </row>
    <row r="12">
      <c r="B12" s="10" t="inlineStr">
        <is>
          <t>Fraud &amp; payment losses (incl. APP reimbursement)</t>
        </is>
      </c>
      <c r="C12" s="44">
        <f>-'4. Running Costs'!$C$8</f>
        <v/>
      </c>
    </row>
    <row r="13">
      <c r="B13" s="10" t="inlineStr">
        <is>
          <t>FSCS deposit-protection levy</t>
        </is>
      </c>
      <c r="C13" s="44">
        <f>-'4. Running Costs'!$C$9</f>
        <v/>
      </c>
    </row>
    <row r="14">
      <c r="B14" s="10" t="inlineStr">
        <is>
          <t>Share of head-office costs</t>
        </is>
      </c>
      <c r="C14" s="44">
        <f>-'4. Running Costs'!$C$16</f>
        <v/>
      </c>
    </row>
    <row r="15">
      <c r="B15" s="10" t="inlineStr">
        <is>
          <t>Change-the-bank / transformation</t>
        </is>
      </c>
      <c r="C15" s="44">
        <f>-'4. Running Costs'!$C$18</f>
        <v/>
      </c>
      <c r="E15" s="5" t="inlineStr">
        <is>
          <t>Portfolio hurdle — not attributed to products</t>
        </is>
      </c>
    </row>
    <row r="16">
      <c r="B16" s="49" t="inlineStr">
        <is>
          <t>TOTAL OPERATING COSTS</t>
        </is>
      </c>
      <c r="C16" s="45">
        <f>'7. P&amp;L'!$C$9+'7. P&amp;L'!$C$10+'7. P&amp;L'!$C$11+'7. P&amp;L'!$C$12+'7. P&amp;L'!$C$13+'7. P&amp;L'!$C$14+'7. P&amp;L'!$C$15</f>
        <v/>
      </c>
    </row>
    <row r="17">
      <c r="B17" s="10" t="inlineStr">
        <is>
          <t xml:space="preserve">   memo: attributed to products by driver (ABC — tab 6)</t>
        </is>
      </c>
      <c r="C17" s="44">
        <f>'7. P&amp;L'!$C$16+'4. Running Costs'!$C$28+'3. HR &amp; Activity'!$H$48</f>
        <v/>
      </c>
      <c r="E17" s="5" t="inlineStr">
        <is>
          <t>Servicing, RM origination &amp; stewardship, supervision &amp; workplace, account infrastructure</t>
        </is>
      </c>
    </row>
    <row r="18">
      <c r="B18" s="10" t="inlineStr">
        <is>
          <t xml:space="preserve">   memo: RM defence — tested retention spend at centre level</t>
        </is>
      </c>
      <c r="C18" s="44">
        <f>-'3. HR &amp; Activity'!$H$48</f>
        <v/>
      </c>
      <c r="E18" s="5" t="inlineStr">
        <is>
          <t>Pays back through reduced churn (see bridge memo, tab 6)</t>
        </is>
      </c>
    </row>
    <row r="19">
      <c r="B19" s="10" t="inlineStr">
        <is>
          <t xml:space="preserve">   memo: unallocated joint costs (portfolio hurdle)</t>
        </is>
      </c>
      <c r="C19" s="44">
        <f>-'4. Running Costs'!$C$28</f>
        <v/>
      </c>
      <c r="E19" s="5" t="inlineStr">
        <is>
          <t>Brand, exec, finance, platform build — no causal driver; total contribution must clear these</t>
        </is>
      </c>
    </row>
    <row r="20">
      <c r="B20" s="49" t="inlineStr">
        <is>
          <t>PROFIT BEFORE TAX</t>
        </is>
      </c>
      <c r="C20" s="45">
        <f>'7. P&amp;L'!$C$8+'7. P&amp;L'!$C$16</f>
        <v/>
      </c>
    </row>
    <row r="21">
      <c r="B21" s="10" t="inlineStr">
        <is>
          <t>Tax (corporation tax + bank surcharge)</t>
        </is>
      </c>
      <c r="C21" s="44">
        <f>-'7. P&amp;L'!$C$20*'Inputs'!$F$95</f>
        <v/>
      </c>
    </row>
    <row r="22">
      <c r="B22" s="49" t="inlineStr">
        <is>
          <t>PROFIT AFTER TAX</t>
        </is>
      </c>
      <c r="C22" s="45">
        <f>'7. P&amp;L'!$C$20+'7. P&amp;L'!$C$21</f>
        <v/>
      </c>
    </row>
    <row r="23">
      <c r="B23" s="10" t="inlineStr">
        <is>
          <t>Required return on allocated equity (post-tax)</t>
        </is>
      </c>
      <c r="C23" s="44">
        <f>-'5. Risk &amp; Capital'!$C$19</f>
        <v/>
      </c>
      <c r="E23" s="5" t="inlineStr">
        <is>
          <t>Simanis second-level investment cost: what shareholders must earn</t>
        </is>
      </c>
    </row>
    <row r="24">
      <c r="B24" s="2" t="inlineStr">
        <is>
          <t>ECONOMIC PROFIT (value created above cost of equity)</t>
        </is>
      </c>
      <c r="C24" s="58">
        <f>'7. P&amp;L'!$C$22+'7. P&amp;L'!$C$23</f>
        <v/>
      </c>
    </row>
    <row r="26">
      <c r="B26" s="7" t="inlineStr">
        <is>
          <t>KEY RATIOS &amp; BENCHMARKS</t>
        </is>
      </c>
      <c r="C26" s="8" t="inlineStr"/>
      <c r="D26" s="8" t="inlineStr"/>
      <c r="E26" s="8" t="inlineStr"/>
    </row>
    <row r="27">
      <c r="B27" s="10" t="inlineStr">
        <is>
          <t>Customers</t>
        </is>
      </c>
      <c r="C27" s="42">
        <f>'1. Customers'!$C$4</f>
        <v/>
      </c>
      <c r="E27" s="5" t="inlineStr"/>
    </row>
    <row r="28">
      <c r="B28" s="10" t="inlineStr">
        <is>
          <t>Revenue per customer</t>
        </is>
      </c>
      <c r="C28" s="44">
        <f>'7. P&amp;L'!$C$6/'1. Customers'!$C$4</f>
        <v/>
      </c>
      <c r="E28" s="5" t="inlineStr"/>
    </row>
    <row r="29">
      <c r="B29" s="10" t="inlineStr">
        <is>
          <t>Operating cost per customer</t>
        </is>
      </c>
      <c r="C29" s="44">
        <f>-'7. P&amp;L'!$C$16/'1. Customers'!$C$4</f>
        <v/>
      </c>
      <c r="E29" s="5" t="inlineStr"/>
    </row>
    <row r="30">
      <c r="B30" s="10" t="inlineStr">
        <is>
          <t>Cost:income ratio</t>
        </is>
      </c>
      <c r="C30" s="46">
        <f>-'7. P&amp;L'!$C$16/'7. P&amp;L'!$C$6</f>
        <v/>
      </c>
      <c r="E30" s="5" t="inlineStr">
        <is>
          <t>Specialist SME banks: OakNorth ~26%, Allica ~50% while scaling; majors' business banking 50%+</t>
        </is>
      </c>
    </row>
    <row r="31">
      <c r="B31" s="10" t="inlineStr">
        <is>
          <t>Cost of risk (EL / lending balances)</t>
        </is>
      </c>
      <c r="C31" s="16">
        <f>-'7. P&amp;L'!$C$7/'1. Customers'!$E$22</f>
        <v/>
      </c>
      <c r="E31" s="5" t="inlineStr">
        <is>
          <t>BoE: SME impairments are the biggest drag on SME lending returns</t>
        </is>
      </c>
    </row>
    <row r="32">
      <c r="B32" s="10" t="inlineStr">
        <is>
          <t>NII / lending balances (indicative NIM)</t>
        </is>
      </c>
      <c r="C32" s="16">
        <f>'7. P&amp;L'!$C$3/'1. Customers'!$E$22</f>
        <v/>
      </c>
      <c r="E32" s="5" t="inlineStr"/>
    </row>
    <row r="33">
      <c r="B33" s="10" t="inlineStr">
        <is>
          <t>Return on allocated equity (RoE)</t>
        </is>
      </c>
      <c r="C33" s="46">
        <f>'7. P&amp;L'!$C$22/'5. Risk &amp; Capital'!$C$17</f>
        <v/>
      </c>
      <c r="E33" s="5" t="inlineStr">
        <is>
          <t>Strong SME specialists earn 15–25%; sector cost of equity ~10–14%</t>
        </is>
      </c>
    </row>
    <row r="34">
      <c r="B34" s="10" t="inlineStr">
        <is>
          <t>Loan-to-deposit ratio</t>
        </is>
      </c>
      <c r="C34" s="46">
        <f>'1. Customers'!$E$22/'1. Customers'!$E$21</f>
        <v/>
      </c>
      <c r="E34" s="5" t="inlineStr"/>
    </row>
    <row r="36">
      <c r="B36" s="7" t="inlineStr">
        <is>
          <t>COST DRIVERS (each line as % of whole costs — Simanis cost-driver analysis)</t>
        </is>
      </c>
      <c r="C36" s="8" t="inlineStr"/>
      <c r="D36" s="8" t="inlineStr"/>
      <c r="E36" s="8" t="inlineStr"/>
    </row>
    <row r="37">
      <c r="B37" s="10" t="inlineStr">
        <is>
          <t>Expected credit losses</t>
        </is>
      </c>
      <c r="C37" s="44">
        <f>-'7. P&amp;L'!$C$7</f>
        <v/>
      </c>
      <c r="D37" s="46">
        <f>-'7. P&amp;L'!$C$7/(-'7. P&amp;L'!$C$7-'7. P&amp;L'!$C$16)</f>
        <v/>
      </c>
    </row>
    <row r="38">
      <c r="B38" s="10" t="inlineStr">
        <is>
          <t>Staff costs (unit)</t>
        </is>
      </c>
      <c r="C38" s="44">
        <f>-'7. P&amp;L'!$C$9</f>
        <v/>
      </c>
      <c r="D38" s="46">
        <f>-'7. P&amp;L'!$C$9/(-'7. P&amp;L'!$C$7-'7. P&amp;L'!$C$16)</f>
        <v/>
      </c>
    </row>
    <row r="39">
      <c r="B39" s="10" t="inlineStr">
        <is>
          <t>Premises &amp; depreciation</t>
        </is>
      </c>
      <c r="C39" s="44">
        <f>-'7. P&amp;L'!$C$10</f>
        <v/>
      </c>
      <c r="D39" s="46">
        <f>-'7. P&amp;L'!$C$10/(-'7. P&amp;L'!$C$7-'7. P&amp;L'!$C$16)</f>
        <v/>
      </c>
    </row>
    <row r="40">
      <c r="B40" s="10" t="inlineStr">
        <is>
          <t>Other direct &amp; unit platform</t>
        </is>
      </c>
      <c r="C40" s="44">
        <f>-'7. P&amp;L'!$C$11</f>
        <v/>
      </c>
      <c r="D40" s="46">
        <f>-'7. P&amp;L'!$C$11/(-'7. P&amp;L'!$C$7-'7. P&amp;L'!$C$16)</f>
        <v/>
      </c>
    </row>
    <row r="41">
      <c r="B41" s="10" t="inlineStr">
        <is>
          <t>Fraud &amp; payment losses</t>
        </is>
      </c>
      <c r="C41" s="44">
        <f>-'7. P&amp;L'!$C$12</f>
        <v/>
      </c>
      <c r="D41" s="46">
        <f>-'7. P&amp;L'!$C$12/(-'7. P&amp;L'!$C$7-'7. P&amp;L'!$C$16)</f>
        <v/>
      </c>
    </row>
    <row r="42">
      <c r="B42" s="10" t="inlineStr">
        <is>
          <t>FSCS levy</t>
        </is>
      </c>
      <c r="C42" s="44">
        <f>-'7. P&amp;L'!$C$13</f>
        <v/>
      </c>
      <c r="D42" s="46">
        <f>-'7. P&amp;L'!$C$13/(-'7. P&amp;L'!$C$7-'7. P&amp;L'!$C$16)</f>
        <v/>
      </c>
    </row>
    <row r="43">
      <c r="B43" s="10" t="inlineStr">
        <is>
          <t>Head-office allocation</t>
        </is>
      </c>
      <c r="C43" s="44">
        <f>-'7. P&amp;L'!$C$14</f>
        <v/>
      </c>
      <c r="D43" s="46">
        <f>-'7. P&amp;L'!$C$14/(-'7. P&amp;L'!$C$7-'7. P&amp;L'!$C$16)</f>
        <v/>
      </c>
    </row>
    <row r="44">
      <c r="B44" s="10" t="inlineStr">
        <is>
          <t>Change-the-bank / transformation</t>
        </is>
      </c>
      <c r="C44" s="44">
        <f>-'7. P&amp;L'!$C$15</f>
        <v/>
      </c>
      <c r="D44" s="46">
        <f>-'7. P&amp;L'!$C$15/(-'7. P&amp;L'!$C$7-'7. P&amp;L'!$C$16)</f>
        <v/>
      </c>
    </row>
    <row r="45">
      <c r="B45" s="49" t="inlineStr">
        <is>
          <t>WHOLE COSTS (running + risk)</t>
        </is>
      </c>
      <c r="C45" s="45">
        <f>(-'7. P&amp;L'!$C$7-'7. P&amp;L'!$C$16)</f>
        <v/>
      </c>
      <c r="D45" s="61" t="n">
        <v>1</v>
      </c>
    </row>
    <row r="47">
      <c r="B47" s="5" t="inlineStr">
        <is>
          <t>The largest percentages are the leverage points: trace them back to transaction intensity (I) or customer load (L) on the HR &amp; Activity sheet and innovate there first.</t>
        </is>
      </c>
    </row>
  </sheetData>
  <mergeCells count="1">
    <mergeCell ref="B47:E4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H7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48" customWidth="1" min="2" max="2"/>
    <col width="16" customWidth="1" min="3" max="3"/>
    <col width="13" customWidth="1" min="4" max="4"/>
    <col width="15" customWidth="1" min="5" max="5"/>
    <col width="15" customWidth="1" min="6" max="6"/>
    <col width="12" customWidth="1" min="7" max="7"/>
    <col width="60" customWidth="1" min="8" max="8"/>
  </cols>
  <sheetData>
    <row r="1">
      <c r="B1" s="1" t="inlineStr">
        <is>
          <t>ORG STRUCTURE — WHOLE BANK AT SCALE</t>
        </is>
      </c>
    </row>
    <row r="2">
      <c r="B2" s="14" t="inlineStr">
        <is>
          <t>Front-line FTEs come straight from the activity drivers (tab 3) × number of centres; head-office FTEs are backed out of the per-customer head-office allocations (tab 4).</t>
        </is>
      </c>
    </row>
    <row r="4">
      <c r="B4" s="7" t="inlineStr">
        <is>
          <t>BANK AT SCALE</t>
        </is>
      </c>
      <c r="C4" s="8" t="inlineStr"/>
      <c r="D4" s="8" t="inlineStr"/>
      <c r="E4" s="8" t="inlineStr"/>
      <c r="F4" s="8" t="inlineStr"/>
      <c r="G4" s="8" t="inlineStr"/>
      <c r="H4" s="8" t="inlineStr"/>
    </row>
    <row r="5">
      <c r="B5" s="10" t="inlineStr">
        <is>
          <t>Regional business centres</t>
        </is>
      </c>
      <c r="C5" s="47">
        <f>'Inputs'!$F$171</f>
        <v/>
      </c>
    </row>
    <row r="6">
      <c r="B6" s="10" t="inlineStr">
        <is>
          <t>Customers</t>
        </is>
      </c>
      <c r="C6" s="42">
        <f>'Inputs'!$F$171*'1. Customers'!$C$4</f>
        <v/>
      </c>
    </row>
    <row r="7">
      <c r="B7" s="10" t="inlineStr">
        <is>
          <t>Lending balances</t>
        </is>
      </c>
      <c r="C7" s="44">
        <f>'Inputs'!$F$171*'1. Customers'!$E$22</f>
        <v/>
      </c>
    </row>
    <row r="8">
      <c r="B8" s="10" t="inlineStr">
        <is>
          <t>Customer deposits</t>
        </is>
      </c>
      <c r="C8" s="44">
        <f>'Inputs'!$F$171*'1. Customers'!$E$21</f>
        <v/>
      </c>
    </row>
    <row r="9">
      <c r="B9" s="10" t="inlineStr">
        <is>
          <t>Total operating income</t>
        </is>
      </c>
      <c r="C9" s="44">
        <f>'Inputs'!$F$171*'7. P&amp;L'!$C$6</f>
        <v/>
      </c>
    </row>
    <row r="10">
      <c r="B10" s="10" t="inlineStr">
        <is>
          <t>Total operating costs</t>
        </is>
      </c>
      <c r="C10" s="44">
        <f>'Inputs'!$F$171*-'7. P&amp;L'!$C$16</f>
        <v/>
      </c>
    </row>
    <row r="12">
      <c r="B12" s="7" t="inlineStr">
        <is>
          <t>FRONT LINE — ROLE TOTALS (derived from activity drivers; organised into segment pods below)</t>
        </is>
      </c>
      <c r="C12" s="8" t="inlineStr"/>
      <c r="D12" s="8" t="inlineStr"/>
      <c r="E12" s="8" t="inlineStr"/>
      <c r="F12" s="8" t="inlineStr"/>
      <c r="G12" s="8" t="inlineStr"/>
      <c r="H12" s="8" t="inlineStr"/>
    </row>
    <row r="13">
      <c r="B13" s="43" t="inlineStr">
        <is>
          <t>Role</t>
        </is>
      </c>
      <c r="C13" s="43" t="inlineStr">
        <is>
          <t>FTE per centre</t>
        </is>
      </c>
      <c r="D13" s="43" t="inlineStr">
        <is>
          <t>FTE at scale</t>
        </is>
      </c>
      <c r="E13" s="43" t="inlineStr">
        <is>
          <t>Headcount (rounded)</t>
        </is>
      </c>
      <c r="F13" s="43" t="inlineStr"/>
      <c r="G13" s="43" t="inlineStr"/>
      <c r="H13" s="43" t="inlineStr">
        <is>
          <t>Basis</t>
        </is>
      </c>
    </row>
    <row r="14">
      <c r="B14" s="10" t="inlineStr">
        <is>
          <t>Business centre managers</t>
        </is>
      </c>
      <c r="C14" s="57">
        <f>'3. HR &amp; Activity'!$D$40</f>
        <v/>
      </c>
      <c r="D14" s="53">
        <f>C14*'Inputs'!$F$171</f>
        <v/>
      </c>
      <c r="E14" s="42">
        <f>ROUND(D14,0)</f>
        <v/>
      </c>
      <c r="H14" s="14" t="inlineStr">
        <is>
          <t>Span of control: 8 staff per manager</t>
        </is>
      </c>
    </row>
    <row r="15">
      <c r="B15" s="10" t="inlineStr">
        <is>
          <t>Relationship managers</t>
        </is>
      </c>
      <c r="C15" s="57">
        <f>'3. HR &amp; Activity'!$D$37</f>
        <v/>
      </c>
      <c r="D15" s="53">
        <f>C15*'Inputs'!$F$171</f>
        <v/>
      </c>
      <c r="E15" s="42">
        <f>ROUND(D15,0)</f>
        <v/>
      </c>
      <c r="H15" s="14" t="inlineStr">
        <is>
          <t>Customer load: 120 RM-managed customers per RM</t>
        </is>
      </c>
    </row>
    <row r="16">
      <c r="B16" s="10" t="inlineStr">
        <is>
          <t>Credit analysts / underwriters</t>
        </is>
      </c>
      <c r="C16" s="57">
        <f>'3. HR &amp; Activity'!$D$38</f>
        <v/>
      </c>
      <c r="D16" s="53">
        <f>C16*'Inputs'!$F$171</f>
        <v/>
      </c>
      <c r="E16" s="42">
        <f>ROUND(D16,0)</f>
        <v/>
      </c>
      <c r="H16" s="14" t="inlineStr">
        <is>
          <t>Underwriting, reviews, monitoring &amp; collections hours (tab 3)</t>
        </is>
      </c>
    </row>
    <row r="17">
      <c r="B17" s="10" t="inlineStr">
        <is>
          <t>Service &amp; operations staff</t>
        </is>
      </c>
      <c r="C17" s="57">
        <f>'3. HR &amp; Activity'!$D$39</f>
        <v/>
      </c>
      <c r="D17" s="53">
        <f>C17*'Inputs'!$F$171</f>
        <v/>
      </c>
      <c r="E17" s="42">
        <f>ROUND(D17,0)</f>
        <v/>
      </c>
      <c r="H17" s="14" t="inlineStr">
        <is>
          <t>Onboarding &amp; account servicing hours (tab 3)</t>
        </is>
      </c>
    </row>
    <row r="18">
      <c r="B18" s="49" t="inlineStr">
        <is>
          <t>TOTAL FRONT LINE</t>
        </is>
      </c>
      <c r="D18" s="54">
        <f>SUM(D14:D17)</f>
        <v/>
      </c>
      <c r="E18" s="41">
        <f>SUM(E14:E17)</f>
        <v/>
      </c>
    </row>
    <row r="20">
      <c r="B20" s="7" t="inlineStr">
        <is>
          <t>SEGMENT PODS — THE OPERATIONAL LMUs (bounded by customer segment, not geography)</t>
        </is>
      </c>
      <c r="C20" s="8" t="inlineStr"/>
      <c r="D20" s="8" t="inlineStr"/>
      <c r="E20" s="8" t="inlineStr"/>
      <c r="F20" s="8" t="inlineStr"/>
      <c r="G20" s="8" t="inlineStr"/>
      <c r="H20" s="8" t="inlineStr"/>
    </row>
    <row r="21">
      <c r="B21" s="10" t="inlineStr">
        <is>
          <t>National customer base</t>
        </is>
      </c>
      <c r="C21" s="47">
        <f>'8. Org Structure'!$C$6</f>
        <v/>
      </c>
    </row>
    <row r="22">
      <c r="B22" s="10" t="inlineStr">
        <is>
          <t>Segment: relationship-managed SMEs (larger / complex)</t>
        </is>
      </c>
      <c r="C22" s="42">
        <f>'8. Org Structure'!$C$21*'Inputs'!$F$24</f>
        <v/>
      </c>
      <c r="H22" s="14" t="inlineStr">
        <is>
          <t>The segment boundary is customer size &amp; complexity — pct_rm input</t>
        </is>
      </c>
    </row>
    <row r="23">
      <c r="B23" s="10" t="inlineStr">
        <is>
          <t>Segment: digitally-served small businesses</t>
        </is>
      </c>
      <c r="C23" s="42">
        <f>'8. Org Structure'!$C$21-'8. Org Structure'!$C$22</f>
        <v/>
      </c>
    </row>
    <row r="25">
      <c r="B25" s="9" t="inlineStr">
        <is>
          <t>RELATIONSHIP POD (LMU for the RM-managed segment)</t>
        </is>
      </c>
    </row>
    <row r="26">
      <c r="B26" s="10" t="inlineStr">
        <is>
          <t>Pod capacity (RMs per pod × customers per RM)</t>
        </is>
      </c>
      <c r="C26" s="42">
        <f>'Inputs'!$F$26*'Inputs'!$F$25</f>
        <v/>
      </c>
      <c r="H26" s="14" t="inlineStr">
        <is>
          <t>6 RMs × 120 customers = 720 SMEs per pod</t>
        </is>
      </c>
    </row>
    <row r="27">
      <c r="B27" s="49" t="inlineStr">
        <is>
          <t>Relationship pods at scale</t>
        </is>
      </c>
      <c r="C27" s="54">
        <f>'8. Org Structure'!$C$22/'8. Org Structure'!$C$26</f>
        <v/>
      </c>
      <c r="H27" s="14" t="inlineStr">
        <is>
          <t>Replicating unit: pod lead + RMs + analysts; carries ~60% of lending balances</t>
        </is>
      </c>
    </row>
    <row r="28">
      <c r="B28" s="10" t="inlineStr">
        <is>
          <t>Credit analysts per pod (national analysts ÷ pods)</t>
        </is>
      </c>
      <c r="C28" s="53">
        <f>'3. HR &amp; Activity'!$D$38*'Inputs'!$F$171/'8. Org Structure'!$C$27</f>
        <v/>
      </c>
      <c r="H28" s="14" t="inlineStr">
        <is>
          <t>Analysts sit with the relationship pods; digitally-held credit is underwritten remotely by the same pods</t>
        </is>
      </c>
    </row>
    <row r="30">
      <c r="B30" s="9" t="inlineStr">
        <is>
          <t>DIGITAL SERVICE POD (LMU for the small-business segment)</t>
        </is>
      </c>
    </row>
    <row r="31">
      <c r="B31" s="49" t="inlineStr">
        <is>
          <t>Digital service pods at scale (service FTE ÷ pod size)</t>
        </is>
      </c>
      <c r="C31" s="54">
        <f>'3. HR &amp; Activity'!$D$39*'Inputs'!$F$171/'Inputs'!$F$27</f>
        <v/>
      </c>
      <c r="H31" s="14" t="inlineStr">
        <is>
          <t>Replicating unit: service &amp; ops FTE serving the segment via app + contact centre</t>
        </is>
      </c>
    </row>
    <row r="32">
      <c r="B32" s="10" t="inlineStr">
        <is>
          <t>Small businesses served per digital pod</t>
        </is>
      </c>
      <c r="C32" s="42">
        <f>'8. Org Structure'!$C$23/'8. Org Structure'!$C$31</f>
        <v/>
      </c>
      <c r="H32" s="14" t="inlineStr">
        <is>
          <t>Capacity bounded by service workload, not territory</t>
        </is>
      </c>
    </row>
    <row r="34">
      <c r="B34" s="5" t="inlineStr">
        <is>
          <t>Both pod types replicate independently as the bank grows — the segment pod, not a regional centre, is the venture's replicating building block. Geography is only where pods are homed.</t>
        </is>
      </c>
    </row>
    <row r="36">
      <c r="B36" s="7" t="inlineStr">
        <is>
          <t>HEAD OFFICE — FTEs BACKED OUT OF COST ALLOCATIONS</t>
        </is>
      </c>
      <c r="C36" s="8" t="inlineStr"/>
      <c r="D36" s="8" t="inlineStr"/>
      <c r="E36" s="8" t="inlineStr"/>
      <c r="F36" s="8" t="inlineStr"/>
      <c r="G36" s="8" t="inlineStr"/>
      <c r="H36" s="8" t="inlineStr"/>
    </row>
    <row r="37">
      <c r="B37" s="43" t="inlineStr">
        <is>
          <t>Division</t>
        </is>
      </c>
      <c r="C37" s="43" t="inlineStr">
        <is>
          <t>Allocated cost at scale</t>
        </is>
      </c>
      <c r="D37" s="43" t="inlineStr">
        <is>
          <t>Staff share</t>
        </is>
      </c>
      <c r="E37" s="43" t="inlineStr">
        <is>
          <t>Staff cost (£)</t>
        </is>
      </c>
      <c r="F37" s="43" t="inlineStr">
        <is>
          <t>Loaded cost /FTE</t>
        </is>
      </c>
      <c r="G37" s="43" t="inlineStr">
        <is>
          <t>FTEs</t>
        </is>
      </c>
      <c r="H37" s="43" t="inlineStr">
        <is>
          <t>Note</t>
        </is>
      </c>
    </row>
    <row r="38">
      <c r="B38" s="10" t="inlineStr">
        <is>
          <t>Technology &amp; central operations</t>
        </is>
      </c>
      <c r="C38" s="44">
        <f>'Inputs'!$F$129*'8. Org Structure'!$C$6</f>
        <v/>
      </c>
      <c r="D38" s="55">
        <f>'Inputs'!$F$172</f>
        <v/>
      </c>
      <c r="E38" s="44">
        <f>C38*D38</f>
        <v/>
      </c>
      <c r="F38" s="48">
        <f>'Inputs'!$F$173</f>
        <v/>
      </c>
      <c r="G38" s="22">
        <f>E38/F38</f>
        <v/>
      </c>
    </row>
    <row r="39">
      <c r="B39" s="10" t="inlineStr">
        <is>
          <t>Risk, compliance, financial crime &amp; audit</t>
        </is>
      </c>
      <c r="C39" s="44">
        <f>'Inputs'!$F$130*'8. Org Structure'!$C$6</f>
        <v/>
      </c>
      <c r="D39" s="55">
        <f>'Inputs'!$F$174</f>
        <v/>
      </c>
      <c r="E39" s="44">
        <f>C39*D39</f>
        <v/>
      </c>
      <c r="F39" s="48">
        <f>'Inputs'!$F$175</f>
        <v/>
      </c>
      <c r="G39" s="22">
        <f>E39/F39</f>
        <v/>
      </c>
    </row>
    <row r="40">
      <c r="B40" s="10" t="inlineStr">
        <is>
          <t>Corporate centre (finance, treasury, HR, marketing, exec)</t>
        </is>
      </c>
      <c r="C40" s="44">
        <f>'Inputs'!$F$131*'8. Org Structure'!$C$6</f>
        <v/>
      </c>
      <c r="D40" s="55">
        <f>'Inputs'!$F$176</f>
        <v/>
      </c>
      <c r="E40" s="44">
        <f>C40*D40</f>
        <v/>
      </c>
      <c r="F40" s="48">
        <f>'Inputs'!$F$177</f>
        <v/>
      </c>
      <c r="G40" s="22">
        <f>E40/F40</f>
        <v/>
      </c>
    </row>
    <row r="41">
      <c r="B41" s="49" t="inlineStr">
        <is>
          <t>TOTAL HEAD OFFICE</t>
        </is>
      </c>
      <c r="G41" s="41">
        <f>SUM(G38:G40)</f>
        <v/>
      </c>
    </row>
    <row r="43">
      <c r="B43" s="7" t="inlineStr">
        <is>
          <t>INDICATIVE SPLIT WITHIN EACH HEAD-OFFICE DIVISION (edit blue % — each block sums to 100%)</t>
        </is>
      </c>
      <c r="C43" s="8" t="inlineStr"/>
      <c r="D43" s="8" t="inlineStr"/>
      <c r="E43" s="8" t="inlineStr"/>
      <c r="F43" s="8" t="inlineStr"/>
      <c r="G43" s="8" t="inlineStr"/>
      <c r="H43" s="8" t="inlineStr"/>
    </row>
    <row r="44">
      <c r="B44" s="9" t="inlineStr">
        <is>
          <t>Function</t>
        </is>
      </c>
      <c r="C44" s="9" t="inlineStr">
        <is>
          <t>% of division</t>
        </is>
      </c>
      <c r="D44" s="9" t="inlineStr">
        <is>
          <t>FTEs</t>
        </is>
      </c>
      <c r="E44" s="9" t="inlineStr">
        <is>
          <t>Headcount (rounded)</t>
        </is>
      </c>
    </row>
    <row r="45">
      <c r="B45" s="9" t="inlineStr">
        <is>
          <t>TECHNOLOGY &amp; CENTRAL OPERATIONS</t>
        </is>
      </c>
    </row>
    <row r="46">
      <c r="B46" s="10" t="inlineStr">
        <is>
          <t>Engineering &amp; platform development</t>
        </is>
      </c>
      <c r="C46" s="17" t="n">
        <v>0.4</v>
      </c>
      <c r="D46" s="53">
        <f>C46*'8. Org Structure'!$G$38</f>
        <v/>
      </c>
      <c r="E46" s="42">
        <f>ROUND(D46,0)</f>
        <v/>
      </c>
    </row>
    <row r="47">
      <c r="B47" s="10" t="inlineStr">
        <is>
          <t>IT infrastructure &amp; security</t>
        </is>
      </c>
      <c r="C47" s="17" t="n">
        <v>0.18</v>
      </c>
      <c r="D47" s="53">
        <f>C47*'8. Org Structure'!$G$38</f>
        <v/>
      </c>
      <c r="E47" s="42">
        <f>ROUND(D47,0)</f>
        <v/>
      </c>
    </row>
    <row r="48">
      <c r="B48" s="10" t="inlineStr">
        <is>
          <t>Payments &amp; banking operations</t>
        </is>
      </c>
      <c r="C48" s="17" t="n">
        <v>0.27</v>
      </c>
      <c r="D48" s="53">
        <f>C48*'8. Org Structure'!$G$38</f>
        <v/>
      </c>
      <c r="E48" s="42">
        <f>ROUND(D48,0)</f>
        <v/>
      </c>
    </row>
    <row r="49">
      <c r="B49" s="10" t="inlineStr">
        <is>
          <t>Onboarding, KYC refresh &amp; complaints</t>
        </is>
      </c>
      <c r="C49" s="17" t="n">
        <v>0.15</v>
      </c>
      <c r="D49" s="53">
        <f>C49*'8. Org Structure'!$G$38</f>
        <v/>
      </c>
      <c r="E49" s="42">
        <f>ROUND(D49,0)</f>
        <v/>
      </c>
    </row>
    <row r="50">
      <c r="B50" s="9" t="inlineStr">
        <is>
          <t>RISK, COMPLIANCE, FINANCIAL CRIME &amp; AUDIT</t>
        </is>
      </c>
    </row>
    <row r="51">
      <c r="B51" s="10" t="inlineStr">
        <is>
          <t>Credit risk &amp; underwriting policy</t>
        </is>
      </c>
      <c r="C51" s="17" t="n">
        <v>0.3</v>
      </c>
      <c r="D51" s="53">
        <f>C51*'8. Org Structure'!$G$39</f>
        <v/>
      </c>
      <c r="E51" s="42">
        <f>ROUND(D51,0)</f>
        <v/>
      </c>
    </row>
    <row r="52">
      <c r="B52" s="10" t="inlineStr">
        <is>
          <t>Compliance &amp; conduct</t>
        </is>
      </c>
      <c r="C52" s="17" t="n">
        <v>0.2</v>
      </c>
      <c r="D52" s="53">
        <f>C52*'8. Org Structure'!$G$39</f>
        <v/>
      </c>
      <c r="E52" s="42">
        <f>ROUND(D52,0)</f>
        <v/>
      </c>
    </row>
    <row r="53">
      <c r="B53" s="10" t="inlineStr">
        <is>
          <t>Financial crime &amp; fraud</t>
        </is>
      </c>
      <c r="C53" s="17" t="n">
        <v>0.26</v>
      </c>
      <c r="D53" s="53">
        <f>C53*'8. Org Structure'!$G$39</f>
        <v/>
      </c>
      <c r="E53" s="42">
        <f>ROUND(D53,0)</f>
        <v/>
      </c>
    </row>
    <row r="54">
      <c r="B54" s="10" t="inlineStr">
        <is>
          <t>Operational risk</t>
        </is>
      </c>
      <c r="C54" s="17" t="n">
        <v>0.08</v>
      </c>
      <c r="D54" s="53">
        <f>C54*'8. Org Structure'!$G$39</f>
        <v/>
      </c>
      <c r="E54" s="42">
        <f>ROUND(D54,0)</f>
        <v/>
      </c>
    </row>
    <row r="55">
      <c r="B55" s="10" t="inlineStr">
        <is>
          <t>Internal audit</t>
        </is>
      </c>
      <c r="C55" s="17" t="n">
        <v>0.08</v>
      </c>
      <c r="D55" s="53">
        <f>C55*'8. Org Structure'!$G$39</f>
        <v/>
      </c>
      <c r="E55" s="42">
        <f>ROUND(D55,0)</f>
        <v/>
      </c>
    </row>
    <row r="56">
      <c r="B56" s="10" t="inlineStr">
        <is>
          <t>Legal &amp; company secretariat</t>
        </is>
      </c>
      <c r="C56" s="17" t="n">
        <v>0.08</v>
      </c>
      <c r="D56" s="53">
        <f>C56*'8. Org Structure'!$G$39</f>
        <v/>
      </c>
      <c r="E56" s="42">
        <f>ROUND(D56,0)</f>
        <v/>
      </c>
    </row>
    <row r="57">
      <c r="B57" s="9" t="inlineStr">
        <is>
          <t>CORPORATE CENTRE</t>
        </is>
      </c>
    </row>
    <row r="58">
      <c r="B58" s="10" t="inlineStr">
        <is>
          <t>Finance &amp; regulatory reporting</t>
        </is>
      </c>
      <c r="C58" s="17" t="n">
        <v>0.28</v>
      </c>
      <c r="D58" s="53">
        <f>C58*'8. Org Structure'!$G$40</f>
        <v/>
      </c>
      <c r="E58" s="42">
        <f>ROUND(D58,0)</f>
        <v/>
      </c>
    </row>
    <row r="59">
      <c r="B59" s="10" t="inlineStr">
        <is>
          <t>Treasury &amp; ALM</t>
        </is>
      </c>
      <c r="C59" s="17" t="n">
        <v>0.11</v>
      </c>
      <c r="D59" s="53">
        <f>C59*'8. Org Structure'!$G$40</f>
        <v/>
      </c>
      <c r="E59" s="42">
        <f>ROUND(D59,0)</f>
        <v/>
      </c>
    </row>
    <row r="60">
      <c r="B60" s="10" t="inlineStr">
        <is>
          <t>People / HR</t>
        </is>
      </c>
      <c r="C60" s="17" t="n">
        <v>0.14</v>
      </c>
      <c r="D60" s="53">
        <f>C60*'8. Org Structure'!$G$40</f>
        <v/>
      </c>
      <c r="E60" s="42">
        <f>ROUND(D60,0)</f>
        <v/>
      </c>
    </row>
    <row r="61">
      <c r="B61" s="10" t="inlineStr">
        <is>
          <t>Marketing &amp; brand</t>
        </is>
      </c>
      <c r="C61" s="17" t="n">
        <v>0.22</v>
      </c>
      <c r="D61" s="53">
        <f>C61*'8. Org Structure'!$G$40</f>
        <v/>
      </c>
      <c r="E61" s="42">
        <f>ROUND(D61,0)</f>
        <v/>
      </c>
    </row>
    <row r="62">
      <c r="B62" s="10" t="inlineStr">
        <is>
          <t>Executive &amp; strategy</t>
        </is>
      </c>
      <c r="C62" s="17" t="n">
        <v>0.11</v>
      </c>
      <c r="D62" s="53">
        <f>C62*'8. Org Structure'!$G$40</f>
        <v/>
      </c>
      <c r="E62" s="42">
        <f>ROUND(D62,0)</f>
        <v/>
      </c>
    </row>
    <row r="63">
      <c r="B63" s="10" t="inlineStr">
        <is>
          <t>Facilities &amp; procurement</t>
        </is>
      </c>
      <c r="C63" s="17" t="n">
        <v>0.08</v>
      </c>
      <c r="D63" s="53">
        <f>C63*'8. Org Structure'!$G$40</f>
        <v/>
      </c>
      <c r="E63" s="42">
        <f>ROUND(D63,0)</f>
        <v/>
      </c>
    </row>
    <row r="64">
      <c r="B64" s="10" t="inlineStr">
        <is>
          <t>Data &amp; MI</t>
        </is>
      </c>
      <c r="C64" s="17" t="n">
        <v>0.06</v>
      </c>
      <c r="D64" s="53">
        <f>C64*'8. Org Structure'!$G$40</f>
        <v/>
      </c>
      <c r="E64" s="42">
        <f>ROUND(D64,0)</f>
        <v/>
      </c>
    </row>
    <row r="66">
      <c r="B66" s="7" t="inlineStr">
        <is>
          <t>WHOLE-BANK TOTALS</t>
        </is>
      </c>
      <c r="C66" s="8" t="inlineStr"/>
      <c r="D66" s="8" t="inlineStr"/>
      <c r="E66" s="8" t="inlineStr"/>
      <c r="F66" s="8" t="inlineStr"/>
      <c r="G66" s="8" t="inlineStr"/>
      <c r="H66" s="8" t="inlineStr"/>
    </row>
    <row r="67">
      <c r="B67" s="49" t="inlineStr">
        <is>
          <t>Total bank FTEs (front line + head office)</t>
        </is>
      </c>
      <c r="C67" s="41">
        <f>'8. Org Structure'!$D$18+'8. Org Structure'!$G$41</f>
        <v/>
      </c>
    </row>
    <row r="68">
      <c r="B68" s="10" t="inlineStr">
        <is>
          <t>Customers per FTE</t>
        </is>
      </c>
      <c r="C68" s="42">
        <f>'8. Org Structure'!$C$6/'8. Org Structure'!$C$67</f>
        <v/>
      </c>
    </row>
    <row r="69">
      <c r="B69" s="10" t="inlineStr">
        <is>
          <t>Operating income per FTE</t>
        </is>
      </c>
      <c r="C69" s="44">
        <f>'8. Org Structure'!$C$9/'8. Org Structure'!$C$67</f>
        <v/>
      </c>
      <c r="H69" s="14" t="inlineStr">
        <is>
          <t>UK banks typically £250–400k income per FTE</t>
        </is>
      </c>
    </row>
    <row r="70">
      <c r="B70" s="10" t="inlineStr">
        <is>
          <t>Implied total staff cost</t>
        </is>
      </c>
      <c r="C70" s="44">
        <f>'Inputs'!$F$171*'3. HR &amp; Activity'!$H$41+'8. Org Structure'!$E$38+'8. Org Structure'!$E$39+'8. Org Structure'!$E$40</f>
        <v/>
      </c>
    </row>
    <row r="71">
      <c r="B71" s="10" t="inlineStr">
        <is>
          <t>Staff cost as % of total operating costs</t>
        </is>
      </c>
      <c r="C71" s="46">
        <f>'8. Org Structure'!$C$70/'8. Org Structure'!$C$10</f>
        <v/>
      </c>
      <c r="H71" s="14" t="inlineStr">
        <is>
          <t>Banks typically ~55–65% of opex is people</t>
        </is>
      </c>
    </row>
    <row r="73">
      <c r="B73" s="5" t="inlineStr">
        <is>
          <t>Front-line FTEs are fractional per centre (e.g. 3.75 RMs); in practice centres share specialists or round up — the 'Headcount (rounded)' column shows the practical org.</t>
        </is>
      </c>
    </row>
  </sheetData>
  <mergeCells count="2">
    <mergeCell ref="B34:H34"/>
    <mergeCell ref="B73:H7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M1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9" customWidth="1" min="2" max="2"/>
    <col width="17" customWidth="1" min="3" max="3"/>
    <col width="6" customWidth="1" min="4" max="4"/>
    <col width="9" customWidth="1" min="5" max="5"/>
    <col width="32" customWidth="1" min="6" max="6"/>
    <col width="34" customWidth="1" min="7" max="7"/>
    <col width="12" customWidth="1" min="8" max="8"/>
    <col width="9" customWidth="1" min="9" max="9"/>
    <col width="16" customWidth="1" min="10" max="10"/>
    <col width="14" customWidth="1" min="11" max="11"/>
    <col width="16" customWidth="1" min="12" max="12"/>
    <col width="40" customWidth="1" min="13" max="13"/>
  </cols>
  <sheetData>
    <row r="1">
      <c r="B1" s="1" t="inlineStr">
        <is>
          <t>FLOW REGISTER — PORTFOLIO OF 4-D PRODUCTS ON A SHARED PLATFORM</t>
        </is>
      </c>
    </row>
    <row r="2">
      <c r="B2" s="14" t="inlineStr">
        <is>
          <t>One row per flow. Each product line is a full 4-D product whose working product is DERIVED from its CTM state change (uk_sme_bank_ctm.html); the shared platform serves every product. Reconciles the map's role pills to the ARM (tab 3) and each flow's processes to BIAN.</t>
        </is>
      </c>
    </row>
    <row r="4">
      <c r="B4" s="43" t="inlineStr">
        <is>
          <t>Flow</t>
        </is>
      </c>
      <c r="C4" s="43" t="inlineStr">
        <is>
          <t>Product</t>
        </is>
      </c>
      <c r="D4" s="43" t="inlineStr">
        <is>
          <t>Type</t>
        </is>
      </c>
      <c r="E4" s="43" t="inlineStr">
        <is>
          <t>Category</t>
        </is>
      </c>
      <c r="F4" s="43" t="inlineStr">
        <is>
          <t>Name</t>
        </is>
      </c>
      <c r="G4" s="43" t="inlineStr">
        <is>
          <t>State change driven (from CTM)</t>
        </is>
      </c>
      <c r="H4" s="43" t="inlineStr">
        <is>
          <t>Direction</t>
        </is>
      </c>
      <c r="I4" s="43" t="inlineStr">
        <is>
          <t>Medium</t>
        </is>
      </c>
      <c r="J4" s="43" t="inlineStr">
        <is>
          <t>Direct producer</t>
        </is>
      </c>
      <c r="K4" s="43" t="inlineStr">
        <is>
          <t>Admin support</t>
        </is>
      </c>
      <c r="L4" s="43" t="inlineStr">
        <is>
          <t>Managerial support</t>
        </is>
      </c>
      <c r="M4" s="43" t="inlineStr">
        <is>
          <t>BIAN service domains</t>
        </is>
      </c>
    </row>
    <row r="5">
      <c r="B5" s="40" t="inlineStr">
        <is>
          <t>CP1</t>
        </is>
      </c>
      <c r="C5" s="10" t="inlineStr">
        <is>
          <t>Shared platform</t>
        </is>
      </c>
      <c r="D5" s="10" t="inlineStr">
        <is>
          <t>CP</t>
        </is>
      </c>
      <c r="E5" s="10" t="inlineStr">
        <is>
          <t>Comms</t>
        </is>
      </c>
      <c r="F5" s="4" t="inlineStr">
        <is>
          <t>Marketing &amp; brand</t>
        </is>
      </c>
      <c r="G5" s="4" t="inlineStr">
        <is>
          <t>—</t>
        </is>
      </c>
      <c r="H5" s="10" t="inlineStr">
        <is>
          <t>HQ-&gt;cust</t>
        </is>
      </c>
      <c r="I5" s="10" t="inlineStr">
        <is>
          <t>digital</t>
        </is>
      </c>
      <c r="J5" s="10" t="inlineStr">
        <is>
          <t>Marketing</t>
        </is>
      </c>
      <c r="K5" s="10" t="inlineStr">
        <is>
          <t>Marketing admin</t>
        </is>
      </c>
      <c r="L5" s="10" t="inlineStr">
        <is>
          <t>Head of marketing</t>
        </is>
      </c>
      <c r="M5" s="4" t="inlineStr">
        <is>
          <t>Marketing Campaign · Brand Management</t>
        </is>
      </c>
    </row>
    <row r="6">
      <c r="B6" s="40" t="inlineStr">
        <is>
          <t>CA-WP</t>
        </is>
      </c>
      <c r="C6" s="10" t="inlineStr">
        <is>
          <t>Current account</t>
        </is>
      </c>
      <c r="D6" s="10" t="inlineStr">
        <is>
          <t>WP</t>
        </is>
      </c>
      <c r="E6" s="10" t="inlineStr">
        <is>
          <t>Core</t>
        </is>
      </c>
      <c r="F6" s="4" t="inlineStr">
        <is>
          <t>Hold &amp; use day-to-day money</t>
        </is>
      </c>
      <c r="G6" s="4" t="inlineStr">
        <is>
          <t>Business money mixed &amp; ad hoc -&gt; held safe, usable on demand</t>
        </is>
      </c>
      <c r="H6" s="10" t="inlineStr">
        <is>
          <t>HQ-&gt;cust</t>
        </is>
      </c>
      <c r="I6" s="10" t="inlineStr">
        <is>
          <t>digital</t>
        </is>
      </c>
      <c r="J6" s="10" t="inlineStr">
        <is>
          <t>Service &amp; ops</t>
        </is>
      </c>
      <c r="K6" s="10" t="inlineStr">
        <is>
          <t>Ops admin</t>
        </is>
      </c>
      <c r="L6" s="10" t="inlineStr">
        <is>
          <t>Ops manager</t>
        </is>
      </c>
      <c r="M6" s="4" t="inlineStr">
        <is>
          <t>Current Account · Party Reference Data</t>
        </is>
      </c>
    </row>
    <row r="7">
      <c r="B7" s="40" t="inlineStr">
        <is>
          <t>CA-PP1</t>
        </is>
      </c>
      <c r="C7" s="10" t="inlineStr">
        <is>
          <t>Current account</t>
        </is>
      </c>
      <c r="D7" s="10" t="inlineStr">
        <is>
          <t>PP</t>
        </is>
      </c>
      <c r="E7" s="10" t="inlineStr">
        <is>
          <t>Money</t>
        </is>
      </c>
      <c r="F7" s="4" t="inlineStr">
        <is>
          <t>Account fees</t>
        </is>
      </c>
      <c r="G7" s="4" t="inlineStr">
        <is>
          <t>—</t>
        </is>
      </c>
      <c r="H7" s="10" t="inlineStr">
        <is>
          <t>cust-&gt;HQ</t>
        </is>
      </c>
      <c r="I7" s="10" t="inlineStr">
        <is>
          <t>digital</t>
        </is>
      </c>
      <c r="J7" s="10" t="inlineStr">
        <is>
          <t>Payments ops</t>
        </is>
      </c>
      <c r="K7" s="10" t="inlineStr">
        <is>
          <t>Finance admin</t>
        </is>
      </c>
      <c r="L7" s="10" t="inlineStr">
        <is>
          <t>Payments manager</t>
        </is>
      </c>
      <c r="M7" s="4" t="inlineStr">
        <is>
          <t>Customer Billing · Reconciliation</t>
        </is>
      </c>
    </row>
    <row r="8">
      <c r="B8" s="40" t="inlineStr">
        <is>
          <t>SV-WP</t>
        </is>
      </c>
      <c r="C8" s="10" t="inlineStr">
        <is>
          <t>Savings &amp; deposits</t>
        </is>
      </c>
      <c r="D8" s="10" t="inlineStr">
        <is>
          <t>WP</t>
        </is>
      </c>
      <c r="E8" s="10" t="inlineStr">
        <is>
          <t>Core</t>
        </is>
      </c>
      <c r="F8" s="4" t="inlineStr">
        <is>
          <t>Interest-earning safe store</t>
        </is>
      </c>
      <c r="G8" s="4" t="inlineStr">
        <is>
          <t>Surplus idle -&gt; surplus earning</t>
        </is>
      </c>
      <c r="H8" s="10" t="inlineStr">
        <is>
          <t>HQ-&gt;cust</t>
        </is>
      </c>
      <c r="I8" s="10" t="inlineStr">
        <is>
          <t>digital</t>
        </is>
      </c>
      <c r="J8" s="10" t="inlineStr">
        <is>
          <t>Service &amp; ops</t>
        </is>
      </c>
      <c r="K8" s="10" t="inlineStr">
        <is>
          <t>Ops admin</t>
        </is>
      </c>
      <c r="L8" s="10" t="inlineStr">
        <is>
          <t>Ops manager</t>
        </is>
      </c>
      <c r="M8" s="4" t="inlineStr">
        <is>
          <t>Savings Account · Term Deposit</t>
        </is>
      </c>
    </row>
    <row r="9">
      <c r="B9" s="40" t="inlineStr">
        <is>
          <t>SV-PP1</t>
        </is>
      </c>
      <c r="C9" s="10" t="inlineStr">
        <is>
          <t>Savings &amp; deposits</t>
        </is>
      </c>
      <c r="D9" s="10" t="inlineStr">
        <is>
          <t>PP</t>
        </is>
      </c>
      <c r="E9" s="10" t="inlineStr">
        <is>
          <t>Money</t>
        </is>
      </c>
      <c r="F9" s="4" t="inlineStr">
        <is>
          <t>Deposits placed</t>
        </is>
      </c>
      <c r="G9" s="4" t="inlineStr">
        <is>
          <t>—</t>
        </is>
      </c>
      <c r="H9" s="10" t="inlineStr">
        <is>
          <t>cust-&gt;HQ</t>
        </is>
      </c>
      <c r="I9" s="10" t="inlineStr">
        <is>
          <t>digital</t>
        </is>
      </c>
      <c r="J9" s="10" t="inlineStr">
        <is>
          <t>Treasury</t>
        </is>
      </c>
      <c r="K9" s="10" t="inlineStr">
        <is>
          <t>Ops admin</t>
        </is>
      </c>
      <c r="L9" s="10" t="inlineStr">
        <is>
          <t>Treasurer</t>
        </is>
      </c>
      <c r="M9" s="4" t="inlineStr">
        <is>
          <t>Payment Execution · Position Keeping</t>
        </is>
      </c>
    </row>
    <row r="10">
      <c r="B10" s="40" t="inlineStr">
        <is>
          <t>SV-PP2</t>
        </is>
      </c>
      <c r="C10" s="10" t="inlineStr">
        <is>
          <t>Savings &amp; deposits</t>
        </is>
      </c>
      <c r="D10" s="10" t="inlineStr">
        <is>
          <t>PP</t>
        </is>
      </c>
      <c r="E10" s="10" t="inlineStr">
        <is>
          <t>Money</t>
        </is>
      </c>
      <c r="F10" s="4" t="inlineStr">
        <is>
          <t>Interest paid</t>
        </is>
      </c>
      <c r="G10" s="4" t="inlineStr">
        <is>
          <t>—</t>
        </is>
      </c>
      <c r="H10" s="10" t="inlineStr">
        <is>
          <t>HQ-&gt;cust</t>
        </is>
      </c>
      <c r="I10" s="10" t="inlineStr">
        <is>
          <t>digital</t>
        </is>
      </c>
      <c r="J10" s="10" t="inlineStr">
        <is>
          <t>Treasury</t>
        </is>
      </c>
      <c r="K10" s="10" t="inlineStr">
        <is>
          <t>Finance admin</t>
        </is>
      </c>
      <c r="L10" s="10" t="inlineStr">
        <is>
          <t>Treasurer</t>
        </is>
      </c>
      <c r="M10" s="4" t="inlineStr">
        <is>
          <t>Customer Billing · Position Keeping</t>
        </is>
      </c>
    </row>
    <row r="11">
      <c r="B11" s="40" t="inlineStr">
        <is>
          <t>LN-WP</t>
        </is>
      </c>
      <c r="C11" s="10" t="inlineStr">
        <is>
          <t>Lending &amp; credit</t>
        </is>
      </c>
      <c r="D11" s="10" t="inlineStr">
        <is>
          <t>WP</t>
        </is>
      </c>
      <c r="E11" s="10" t="inlineStr">
        <is>
          <t>Core</t>
        </is>
      </c>
      <c r="F11" s="4" t="inlineStr">
        <is>
          <t>Credit facility (loans · OD · asset &amp; invoice finance)</t>
        </is>
      </c>
      <c r="G11" s="4" t="inlineStr">
        <is>
          <t>Opportunity unfundable -&gt; funded</t>
        </is>
      </c>
      <c r="H11" s="10" t="inlineStr">
        <is>
          <t>HQ-&gt;cust</t>
        </is>
      </c>
      <c r="I11" s="10" t="inlineStr">
        <is>
          <t>physical</t>
        </is>
      </c>
      <c r="J11" s="10" t="inlineStr">
        <is>
          <t>RM · Credit analyst</t>
        </is>
      </c>
      <c r="K11" s="10" t="inlineStr">
        <is>
          <t>Credit admin</t>
        </is>
      </c>
      <c r="L11" s="10" t="inlineStr">
        <is>
          <t>Credit risk manager</t>
        </is>
      </c>
      <c r="M11" s="4" t="inlineStr">
        <is>
          <t>Loan · Customer Credit Rating · Collateral Administration</t>
        </is>
      </c>
    </row>
    <row r="12">
      <c r="B12" s="40" t="inlineStr">
        <is>
          <t>LN-PP1</t>
        </is>
      </c>
      <c r="C12" s="10" t="inlineStr">
        <is>
          <t>Lending &amp; credit</t>
        </is>
      </c>
      <c r="D12" s="10" t="inlineStr">
        <is>
          <t>PP</t>
        </is>
      </c>
      <c r="E12" s="10" t="inlineStr">
        <is>
          <t>Money</t>
        </is>
      </c>
      <c r="F12" s="4" t="inlineStr">
        <is>
          <t>Drawdown</t>
        </is>
      </c>
      <c r="G12" s="4" t="inlineStr">
        <is>
          <t>—</t>
        </is>
      </c>
      <c r="H12" s="10" t="inlineStr">
        <is>
          <t>HQ-&gt;cust</t>
        </is>
      </c>
      <c r="I12" s="10" t="inlineStr">
        <is>
          <t>digital</t>
        </is>
      </c>
      <c r="J12" s="10" t="inlineStr">
        <is>
          <t>Treasury</t>
        </is>
      </c>
      <c r="K12" s="10" t="inlineStr">
        <is>
          <t>Ops admin</t>
        </is>
      </c>
      <c r="L12" s="10" t="inlineStr">
        <is>
          <t>Treasurer</t>
        </is>
      </c>
      <c r="M12" s="4" t="inlineStr">
        <is>
          <t>Payment Execution · Position Keeping</t>
        </is>
      </c>
    </row>
    <row r="13">
      <c r="B13" s="40" t="inlineStr">
        <is>
          <t>LN-PP2</t>
        </is>
      </c>
      <c r="C13" s="10" t="inlineStr">
        <is>
          <t>Lending &amp; credit</t>
        </is>
      </c>
      <c r="D13" s="10" t="inlineStr">
        <is>
          <t>PP</t>
        </is>
      </c>
      <c r="E13" s="10" t="inlineStr">
        <is>
          <t>Money</t>
        </is>
      </c>
      <c r="F13" s="4" t="inlineStr">
        <is>
          <t>Repayments &amp; interest</t>
        </is>
      </c>
      <c r="G13" s="4" t="inlineStr">
        <is>
          <t>—</t>
        </is>
      </c>
      <c r="H13" s="10" t="inlineStr">
        <is>
          <t>cust-&gt;HQ</t>
        </is>
      </c>
      <c r="I13" s="10" t="inlineStr">
        <is>
          <t>digital</t>
        </is>
      </c>
      <c r="J13" s="10" t="inlineStr">
        <is>
          <t>Payments ops</t>
        </is>
      </c>
      <c r="K13" s="10" t="inlineStr">
        <is>
          <t>Finance admin</t>
        </is>
      </c>
      <c r="L13" s="10" t="inlineStr">
        <is>
          <t>Payments manager</t>
        </is>
      </c>
      <c r="M13" s="4" t="inlineStr">
        <is>
          <t>Payment Execution · Reconciliation</t>
        </is>
      </c>
    </row>
    <row r="14">
      <c r="B14" s="40" t="inlineStr">
        <is>
          <t>CC-WP</t>
        </is>
      </c>
      <c r="C14" s="10" t="inlineStr">
        <is>
          <t>Business credit card</t>
        </is>
      </c>
      <c r="D14" s="10" t="inlineStr">
        <is>
          <t>WP</t>
        </is>
      </c>
      <c r="E14" s="10" t="inlineStr">
        <is>
          <t>Core</t>
        </is>
      </c>
      <c r="F14" s="4" t="inlineStr">
        <is>
          <t>Revolving credit line</t>
        </is>
      </c>
      <c r="G14" s="4" t="inlineStr">
        <is>
          <t>Spend blocked by cash timing -&gt; spend enabled on credit</t>
        </is>
      </c>
      <c r="H14" s="10" t="inlineStr">
        <is>
          <t>HQ-&gt;cust</t>
        </is>
      </c>
      <c r="I14" s="10" t="inlineStr">
        <is>
          <t>digital</t>
        </is>
      </c>
      <c r="J14" s="10" t="inlineStr">
        <is>
          <t>Service &amp; ops</t>
        </is>
      </c>
      <c r="K14" s="10" t="inlineStr">
        <is>
          <t>Ops admin</t>
        </is>
      </c>
      <c r="L14" s="10" t="inlineStr">
        <is>
          <t>Ops manager</t>
        </is>
      </c>
      <c r="M14" s="4" t="inlineStr">
        <is>
          <t>Card Authorization · Issued Device Admin</t>
        </is>
      </c>
    </row>
    <row r="15">
      <c r="B15" s="40" t="inlineStr">
        <is>
          <t>CC-PP1</t>
        </is>
      </c>
      <c r="C15" s="10" t="inlineStr">
        <is>
          <t>Business credit card</t>
        </is>
      </c>
      <c r="D15" s="10" t="inlineStr">
        <is>
          <t>PP</t>
        </is>
      </c>
      <c r="E15" s="10" t="inlineStr">
        <is>
          <t>Money</t>
        </is>
      </c>
      <c r="F15" s="4" t="inlineStr">
        <is>
          <t>Spend settled</t>
        </is>
      </c>
      <c r="G15" s="4" t="inlineStr">
        <is>
          <t>—</t>
        </is>
      </c>
      <c r="H15" s="10" t="inlineStr">
        <is>
          <t>HQ-&gt;cust</t>
        </is>
      </c>
      <c r="I15" s="10" t="inlineStr">
        <is>
          <t>digital</t>
        </is>
      </c>
      <c r="J15" s="10" t="inlineStr">
        <is>
          <t>Payments ops</t>
        </is>
      </c>
      <c r="K15" s="10" t="inlineStr">
        <is>
          <t>Payments admin</t>
        </is>
      </c>
      <c r="L15" s="10" t="inlineStr">
        <is>
          <t>Payments manager</t>
        </is>
      </c>
      <c r="M15" s="4" t="inlineStr">
        <is>
          <t>Card Clearing · Reconciliation</t>
        </is>
      </c>
    </row>
    <row r="16">
      <c r="B16" s="40" t="inlineStr">
        <is>
          <t>CC-PP2</t>
        </is>
      </c>
      <c r="C16" s="10" t="inlineStr">
        <is>
          <t>Business credit card</t>
        </is>
      </c>
      <c r="D16" s="10" t="inlineStr">
        <is>
          <t>PP</t>
        </is>
      </c>
      <c r="E16" s="10" t="inlineStr">
        <is>
          <t>Money</t>
        </is>
      </c>
      <c r="F16" s="4" t="inlineStr">
        <is>
          <t>Repayments &amp; interchange</t>
        </is>
      </c>
      <c r="G16" s="4" t="inlineStr">
        <is>
          <t>—</t>
        </is>
      </c>
      <c r="H16" s="10" t="inlineStr">
        <is>
          <t>cust-&gt;HQ</t>
        </is>
      </c>
      <c r="I16" s="10" t="inlineStr">
        <is>
          <t>digital</t>
        </is>
      </c>
      <c r="J16" s="10" t="inlineStr">
        <is>
          <t>Payments ops</t>
        </is>
      </c>
      <c r="K16" s="10" t="inlineStr">
        <is>
          <t>Finance admin</t>
        </is>
      </c>
      <c r="L16" s="10" t="inlineStr">
        <is>
          <t>Payments manager</t>
        </is>
      </c>
      <c r="M16" s="4" t="inlineStr">
        <is>
          <t>Merchant Acquiring · Reconciliation</t>
        </is>
      </c>
    </row>
    <row r="17">
      <c r="B17" s="40" t="inlineStr">
        <is>
          <t>PX-WP</t>
        </is>
      </c>
      <c r="C17" s="10" t="inlineStr">
        <is>
          <t>Payments &amp; FX</t>
        </is>
      </c>
      <c r="D17" s="10" t="inlineStr">
        <is>
          <t>WP</t>
        </is>
      </c>
      <c r="E17" s="10" t="inlineStr">
        <is>
          <t>Core</t>
        </is>
      </c>
      <c r="F17" s="4" t="inlineStr">
        <is>
          <t>Money movement service</t>
        </is>
      </c>
      <c r="G17" s="4" t="inlineStr">
        <is>
          <t>Obligation unpaid or slow -&gt; paid, anywhere</t>
        </is>
      </c>
      <c r="H17" s="10" t="inlineStr">
        <is>
          <t>HQ-&gt;cust</t>
        </is>
      </c>
      <c r="I17" s="10" t="inlineStr">
        <is>
          <t>digital</t>
        </is>
      </c>
      <c r="J17" s="10" t="inlineStr">
        <is>
          <t>Payments ops</t>
        </is>
      </c>
      <c r="K17" s="10" t="inlineStr">
        <is>
          <t>Payments admin</t>
        </is>
      </c>
      <c r="L17" s="10" t="inlineStr">
        <is>
          <t>Payments manager</t>
        </is>
      </c>
      <c r="M17" s="4" t="inlineStr">
        <is>
          <t>Payment Order · Payment Execution · Correspondent Bank</t>
        </is>
      </c>
    </row>
    <row r="18">
      <c r="B18" s="40" t="inlineStr">
        <is>
          <t>PX-PP1</t>
        </is>
      </c>
      <c r="C18" s="10" t="inlineStr">
        <is>
          <t>Payments &amp; FX</t>
        </is>
      </c>
      <c r="D18" s="10" t="inlineStr">
        <is>
          <t>PP</t>
        </is>
      </c>
      <c r="E18" s="10" t="inlineStr">
        <is>
          <t>Money</t>
        </is>
      </c>
      <c r="F18" s="4" t="inlineStr">
        <is>
          <t>Payments out</t>
        </is>
      </c>
      <c r="G18" s="4" t="inlineStr">
        <is>
          <t>—</t>
        </is>
      </c>
      <c r="H18" s="10" t="inlineStr">
        <is>
          <t>HQ-&gt;cust</t>
        </is>
      </c>
      <c r="I18" s="10" t="inlineStr">
        <is>
          <t>digital</t>
        </is>
      </c>
      <c r="J18" s="10" t="inlineStr">
        <is>
          <t>Payments ops</t>
        </is>
      </c>
      <c r="K18" s="10" t="inlineStr">
        <is>
          <t>Payments admin</t>
        </is>
      </c>
      <c r="L18" s="10" t="inlineStr">
        <is>
          <t>Payments manager</t>
        </is>
      </c>
      <c r="M18" s="4" t="inlineStr">
        <is>
          <t>Payment Execution · Financial Message Gateway</t>
        </is>
      </c>
    </row>
    <row r="19">
      <c r="B19" s="40" t="inlineStr">
        <is>
          <t>PX-PP2</t>
        </is>
      </c>
      <c r="C19" s="10" t="inlineStr">
        <is>
          <t>Payments &amp; FX</t>
        </is>
      </c>
      <c r="D19" s="10" t="inlineStr">
        <is>
          <t>PP</t>
        </is>
      </c>
      <c r="E19" s="10" t="inlineStr">
        <is>
          <t>Money</t>
        </is>
      </c>
      <c r="F19" s="4" t="inlineStr">
        <is>
          <t>Receipts &amp; fees</t>
        </is>
      </c>
      <c r="G19" s="4" t="inlineStr">
        <is>
          <t>—</t>
        </is>
      </c>
      <c r="H19" s="10" t="inlineStr">
        <is>
          <t>cust-&gt;HQ</t>
        </is>
      </c>
      <c r="I19" s="10" t="inlineStr">
        <is>
          <t>digital</t>
        </is>
      </c>
      <c r="J19" s="10" t="inlineStr">
        <is>
          <t>Payments ops</t>
        </is>
      </c>
      <c r="K19" s="10" t="inlineStr">
        <is>
          <t>Finance admin</t>
        </is>
      </c>
      <c r="L19" s="10" t="inlineStr">
        <is>
          <t>Payments manager</t>
        </is>
      </c>
      <c r="M19" s="4" t="inlineStr">
        <is>
          <t>Payment Execution · Reconciliation</t>
        </is>
      </c>
    </row>
    <row r="20">
      <c r="B20" s="40" t="inlineStr">
        <is>
          <t>E1</t>
        </is>
      </c>
      <c r="C20" s="10" t="inlineStr">
        <is>
          <t>Shared platform</t>
        </is>
      </c>
      <c r="D20" s="10" t="inlineStr">
        <is>
          <t>WP</t>
        </is>
      </c>
      <c r="E20" s="10" t="inlineStr">
        <is>
          <t>Enabling</t>
        </is>
      </c>
      <c r="F20" s="4" t="inlineStr">
        <is>
          <t>App / online banking</t>
        </is>
      </c>
      <c r="G20" s="4" t="inlineStr">
        <is>
          <t>—</t>
        </is>
      </c>
      <c r="H20" s="10" t="inlineStr">
        <is>
          <t>HQ&lt;-&gt;cust</t>
        </is>
      </c>
      <c r="I20" s="10" t="inlineStr">
        <is>
          <t>digital</t>
        </is>
      </c>
      <c r="J20" s="10" t="inlineStr">
        <is>
          <t>Digital · IT</t>
        </is>
      </c>
      <c r="K20" s="10" t="inlineStr">
        <is>
          <t>—</t>
        </is>
      </c>
      <c r="L20" s="10" t="inlineStr">
        <is>
          <t>Head of digital</t>
        </is>
      </c>
      <c r="M20" s="4" t="inlineStr">
        <is>
          <t>E-Branch / Online Access · Party Authentication</t>
        </is>
      </c>
    </row>
    <row r="21">
      <c r="B21" s="40" t="inlineStr">
        <is>
          <t>E2</t>
        </is>
      </c>
      <c r="C21" s="10" t="inlineStr">
        <is>
          <t>Shared platform</t>
        </is>
      </c>
      <c r="D21" s="10" t="inlineStr">
        <is>
          <t>WP</t>
        </is>
      </c>
      <c r="E21" s="10" t="inlineStr">
        <is>
          <t>Enabling</t>
        </is>
      </c>
      <c r="F21" s="4" t="inlineStr">
        <is>
          <t>Debit card (instrument of CA — no own state change)</t>
        </is>
      </c>
      <c r="G21" s="4" t="inlineStr">
        <is>
          <t>—</t>
        </is>
      </c>
      <c r="H21" s="10" t="inlineStr">
        <is>
          <t>HQ-&gt;cust</t>
        </is>
      </c>
      <c r="I21" s="10" t="inlineStr">
        <is>
          <t>digital</t>
        </is>
      </c>
      <c r="J21" s="10" t="inlineStr">
        <is>
          <t>Service &amp; ops</t>
        </is>
      </c>
      <c r="K21" s="10" t="inlineStr">
        <is>
          <t>—</t>
        </is>
      </c>
      <c r="L21" s="10" t="inlineStr">
        <is>
          <t>Ops manager</t>
        </is>
      </c>
      <c r="M21" s="4" t="inlineStr">
        <is>
          <t>Card Authorization · Issued Device Admin</t>
        </is>
      </c>
    </row>
    <row r="22">
      <c r="B22" s="40" t="inlineStr">
        <is>
          <t>E3</t>
        </is>
      </c>
      <c r="C22" s="10" t="inlineStr">
        <is>
          <t>Shared platform</t>
        </is>
      </c>
      <c r="D22" s="10" t="inlineStr">
        <is>
          <t>WP</t>
        </is>
      </c>
      <c r="E22" s="10" t="inlineStr">
        <is>
          <t>Enabling</t>
        </is>
      </c>
      <c r="F22" s="4" t="inlineStr">
        <is>
          <t>API gateway / Open Banking</t>
        </is>
      </c>
      <c r="G22" s="4" t="inlineStr">
        <is>
          <t>—</t>
        </is>
      </c>
      <c r="H22" s="10" t="inlineStr">
        <is>
          <t>HQ&lt;-&gt;cust</t>
        </is>
      </c>
      <c r="I22" s="10" t="inlineStr">
        <is>
          <t>digital</t>
        </is>
      </c>
      <c r="J22" s="10" t="inlineStr">
        <is>
          <t>Payments ops · IT</t>
        </is>
      </c>
      <c r="K22" s="10" t="inlineStr">
        <is>
          <t>—</t>
        </is>
      </c>
      <c r="L22" s="10" t="inlineStr">
        <is>
          <t>Head of digital</t>
        </is>
      </c>
      <c r="M22" s="4" t="inlineStr">
        <is>
          <t>Financial Message Gateway</t>
        </is>
      </c>
    </row>
    <row r="23">
      <c r="B23" s="40" t="inlineStr">
        <is>
          <t>E4</t>
        </is>
      </c>
      <c r="C23" s="10" t="inlineStr">
        <is>
          <t>Shared platform</t>
        </is>
      </c>
      <c r="D23" s="10" t="inlineStr">
        <is>
          <t>WP</t>
        </is>
      </c>
      <c r="E23" s="10" t="inlineStr">
        <is>
          <t>Enabling</t>
        </is>
      </c>
      <c r="F23" s="4" t="inlineStr">
        <is>
          <t>Access &amp; authentication</t>
        </is>
      </c>
      <c r="G23" s="4" t="inlineStr">
        <is>
          <t>—</t>
        </is>
      </c>
      <c r="H23" s="10" t="inlineStr">
        <is>
          <t>cust-&gt;HQ</t>
        </is>
      </c>
      <c r="I23" s="10" t="inlineStr">
        <is>
          <t>digital</t>
        </is>
      </c>
      <c r="J23" s="10" t="inlineStr">
        <is>
          <t>IT · Risk</t>
        </is>
      </c>
      <c r="K23" s="10" t="inlineStr">
        <is>
          <t>—</t>
        </is>
      </c>
      <c r="L23" s="10" t="inlineStr">
        <is>
          <t>Head of security</t>
        </is>
      </c>
      <c r="M23" s="4" t="inlineStr">
        <is>
          <t>Party Authentication · Customer Access Entitlement</t>
        </is>
      </c>
    </row>
    <row r="24">
      <c r="B24" s="40" t="inlineStr">
        <is>
          <t>E5</t>
        </is>
      </c>
      <c r="C24" s="10" t="inlineStr">
        <is>
          <t>Shared platform</t>
        </is>
      </c>
      <c r="D24" s="10" t="inlineStr">
        <is>
          <t>WP</t>
        </is>
      </c>
      <c r="E24" s="10" t="inlineStr">
        <is>
          <t>Enabling</t>
        </is>
      </c>
      <c r="F24" s="4" t="inlineStr">
        <is>
          <t>Document &amp; contract store</t>
        </is>
      </c>
      <c r="G24" s="4" t="inlineStr">
        <is>
          <t>—</t>
        </is>
      </c>
      <c r="H24" s="10" t="inlineStr">
        <is>
          <t>HQ-&gt;cust</t>
        </is>
      </c>
      <c r="I24" s="10" t="inlineStr">
        <is>
          <t>digital</t>
        </is>
      </c>
      <c r="J24" s="10" t="inlineStr">
        <is>
          <t>Document mgmt</t>
        </is>
      </c>
      <c r="K24" s="10" t="inlineStr">
        <is>
          <t>—</t>
        </is>
      </c>
      <c r="L24" s="10" t="inlineStr">
        <is>
          <t>Ops manager</t>
        </is>
      </c>
      <c r="M24" s="4" t="inlineStr">
        <is>
          <t>Document Management &amp; Archive</t>
        </is>
      </c>
    </row>
    <row r="25">
      <c r="B25" s="40" t="inlineStr">
        <is>
          <t>S1</t>
        </is>
      </c>
      <c r="C25" s="10" t="inlineStr">
        <is>
          <t>Shared platform</t>
        </is>
      </c>
      <c r="D25" s="10" t="inlineStr">
        <is>
          <t>WP</t>
        </is>
      </c>
      <c r="E25" s="10" t="inlineStr">
        <is>
          <t>Support</t>
        </is>
      </c>
      <c r="F25" s="4" t="inlineStr">
        <is>
          <t>Service &amp; servicing</t>
        </is>
      </c>
      <c r="G25" s="4" t="inlineStr">
        <is>
          <t>—</t>
        </is>
      </c>
      <c r="H25" s="10" t="inlineStr">
        <is>
          <t>HQ-&gt;cust</t>
        </is>
      </c>
      <c r="I25" s="10" t="inlineStr">
        <is>
          <t>digital</t>
        </is>
      </c>
      <c r="J25" s="10" t="inlineStr">
        <is>
          <t>Contact centre</t>
        </is>
      </c>
      <c r="K25" s="10" t="inlineStr">
        <is>
          <t>Contact admin</t>
        </is>
      </c>
      <c r="L25" s="10" t="inlineStr">
        <is>
          <t>Service manager</t>
        </is>
      </c>
      <c r="M25" s="4" t="inlineStr">
        <is>
          <t>Customer Case Management · Servicing</t>
        </is>
      </c>
    </row>
    <row r="26">
      <c r="B26" s="40" t="inlineStr">
        <is>
          <t>S2</t>
        </is>
      </c>
      <c r="C26" s="10" t="inlineStr">
        <is>
          <t>Shared platform</t>
        </is>
      </c>
      <c r="D26" s="10" t="inlineStr">
        <is>
          <t>WP</t>
        </is>
      </c>
      <c r="E26" s="10" t="inlineStr">
        <is>
          <t>Support</t>
        </is>
      </c>
      <c r="F26" s="4" t="inlineStr">
        <is>
          <t>Statements &amp; advices</t>
        </is>
      </c>
      <c r="G26" s="4" t="inlineStr">
        <is>
          <t>—</t>
        </is>
      </c>
      <c r="H26" s="10" t="inlineStr">
        <is>
          <t>HQ-&gt;cust</t>
        </is>
      </c>
      <c r="I26" s="10" t="inlineStr">
        <is>
          <t>digital</t>
        </is>
      </c>
      <c r="J26" s="10" t="inlineStr">
        <is>
          <t>Document mgmt</t>
        </is>
      </c>
      <c r="K26" s="10" t="inlineStr">
        <is>
          <t>—</t>
        </is>
      </c>
      <c r="L26" s="10" t="inlineStr">
        <is>
          <t>Ops manager</t>
        </is>
      </c>
      <c r="M26" s="4" t="inlineStr">
        <is>
          <t>Customer Statement · Document Management &amp; Archive</t>
        </is>
      </c>
    </row>
    <row r="27">
      <c r="B27" s="40" t="inlineStr">
        <is>
          <t>S3</t>
        </is>
      </c>
      <c r="C27" s="10" t="inlineStr">
        <is>
          <t>Shared platform</t>
        </is>
      </c>
      <c r="D27" s="10" t="inlineStr">
        <is>
          <t>WP</t>
        </is>
      </c>
      <c r="E27" s="10" t="inlineStr">
        <is>
          <t>Support</t>
        </is>
      </c>
      <c r="F27" s="4" t="inlineStr">
        <is>
          <t>Complaint handling</t>
        </is>
      </c>
      <c r="G27" s="4" t="inlineStr">
        <is>
          <t>—</t>
        </is>
      </c>
      <c r="H27" s="10" t="inlineStr">
        <is>
          <t>HQ-&gt;cust</t>
        </is>
      </c>
      <c r="I27" s="10" t="inlineStr">
        <is>
          <t>physical</t>
        </is>
      </c>
      <c r="J27" s="10" t="inlineStr">
        <is>
          <t>Case management</t>
        </is>
      </c>
      <c r="K27" s="10" t="inlineStr">
        <is>
          <t>Complaints admin</t>
        </is>
      </c>
      <c r="L27" s="10" t="inlineStr">
        <is>
          <t>Conduct manager</t>
        </is>
      </c>
      <c r="M27" s="4" t="inlineStr">
        <is>
          <t>Customer Case Management · Card Case / chargebacks</t>
        </is>
      </c>
    </row>
    <row r="28">
      <c r="B28" s="40" t="inlineStr">
        <is>
          <t>S4</t>
        </is>
      </c>
      <c r="C28" s="10" t="inlineStr">
        <is>
          <t>Shared platform</t>
        </is>
      </c>
      <c r="D28" s="10" t="inlineStr">
        <is>
          <t>WP</t>
        </is>
      </c>
      <c r="E28" s="10" t="inlineStr">
        <is>
          <t>Support</t>
        </is>
      </c>
      <c r="F28" s="4" t="inlineStr">
        <is>
          <t>Fraud resolution</t>
        </is>
      </c>
      <c r="G28" s="4" t="inlineStr">
        <is>
          <t>—</t>
        </is>
      </c>
      <c r="H28" s="10" t="inlineStr">
        <is>
          <t>HQ-&gt;cust</t>
        </is>
      </c>
      <c r="I28" s="10" t="inlineStr">
        <is>
          <t>physical</t>
        </is>
      </c>
      <c r="J28" s="10" t="inlineStr">
        <is>
          <t>Fraud &amp; FinCrime</t>
        </is>
      </c>
      <c r="K28" s="10" t="inlineStr">
        <is>
          <t>Fraud admin</t>
        </is>
      </c>
      <c r="L28" s="10" t="inlineStr">
        <is>
          <t>Fin-crime manager</t>
        </is>
      </c>
      <c r="M28" s="4" t="inlineStr">
        <is>
          <t>Fraud Resolution · Fraud Models</t>
        </is>
      </c>
    </row>
    <row r="29">
      <c r="B29" s="40" t="inlineStr">
        <is>
          <t>PartP1</t>
        </is>
      </c>
      <c r="C29" s="10" t="inlineStr">
        <is>
          <t>Shared platform</t>
        </is>
      </c>
      <c r="D29" s="10" t="inlineStr">
        <is>
          <t>PartP</t>
        </is>
      </c>
      <c r="E29" s="10" t="inlineStr">
        <is>
          <t>Partner</t>
        </is>
      </c>
      <c r="F29" s="4" t="inlineStr">
        <is>
          <t>Partner rails (BoE · schemes · PO · CRAs · FSCS)</t>
        </is>
      </c>
      <c r="G29" s="4" t="inlineStr">
        <is>
          <t>—</t>
        </is>
      </c>
      <c r="H29" s="10" t="inlineStr">
        <is>
          <t>HQ&lt;-&gt;partner</t>
        </is>
      </c>
      <c r="I29" s="10" t="inlineStr">
        <is>
          <t>mixed</t>
        </is>
      </c>
      <c r="J29" s="10" t="inlineStr">
        <is>
          <t>Treasury · Ops</t>
        </is>
      </c>
      <c r="K29" s="10" t="inlineStr">
        <is>
          <t>—</t>
        </is>
      </c>
      <c r="L29" s="10" t="inlineStr">
        <is>
          <t>COO</t>
        </is>
      </c>
      <c r="M29" s="4" t="inlineStr">
        <is>
          <t>Correspondent Bank · Financial Message Gateway · External Agency · Compliance Reporting</t>
        </is>
      </c>
    </row>
    <row r="30">
      <c r="B30" s="40" t="inlineStr">
        <is>
          <t>PartP2</t>
        </is>
      </c>
      <c r="C30" s="10" t="inlineStr">
        <is>
          <t>Bank boundary</t>
        </is>
      </c>
      <c r="D30" s="10" t="inlineStr">
        <is>
          <t>PartP</t>
        </is>
      </c>
      <c r="E30" s="10" t="inlineStr">
        <is>
          <t>Capital</t>
        </is>
      </c>
      <c r="F30" s="4" t="inlineStr">
        <is>
          <t>Shareholders — equity in · dividends &amp; returns out</t>
        </is>
      </c>
      <c r="G30" s="4" t="inlineStr">
        <is>
          <t>—</t>
        </is>
      </c>
      <c r="H30" s="10" t="inlineStr">
        <is>
          <t>HQ&lt;-&gt;shareholders</t>
        </is>
      </c>
      <c r="I30" s="10" t="inlineStr">
        <is>
          <t>digital</t>
        </is>
      </c>
      <c r="J30" s="10" t="inlineStr">
        <is>
          <t>Finance</t>
        </is>
      </c>
      <c r="K30" s="10" t="inlineStr">
        <is>
          <t>Finance admin</t>
        </is>
      </c>
      <c r="L30" s="10" t="inlineStr">
        <is>
          <t>CFO</t>
        </is>
      </c>
      <c r="M30" s="4" t="inlineStr">
        <is>
          <t>Financial Control · Investor Relations</t>
        </is>
      </c>
    </row>
    <row r="31">
      <c r="B31" s="40" t="inlineStr">
        <is>
          <t>PartP3</t>
        </is>
      </c>
      <c r="C31" s="10" t="inlineStr">
        <is>
          <t>Bank boundary</t>
        </is>
      </c>
      <c r="D31" s="10" t="inlineStr">
        <is>
          <t>PartP</t>
        </is>
      </c>
      <c r="E31" s="10" t="inlineStr">
        <is>
          <t>Labour</t>
        </is>
      </c>
      <c r="F31" s="4" t="inlineStr">
        <is>
          <t>Employees — labour in · salaries &amp; benefits out</t>
        </is>
      </c>
      <c r="G31" s="4" t="inlineStr">
        <is>
          <t>—</t>
        </is>
      </c>
      <c r="H31" s="10" t="inlineStr">
        <is>
          <t>HQ&lt;-&gt;employees</t>
        </is>
      </c>
      <c r="I31" s="10" t="inlineStr">
        <is>
          <t>mixed</t>
        </is>
      </c>
      <c r="J31" s="10" t="inlineStr">
        <is>
          <t>HR</t>
        </is>
      </c>
      <c r="K31" s="10" t="inlineStr">
        <is>
          <t>HR admin</t>
        </is>
      </c>
      <c r="L31" s="10" t="inlineStr">
        <is>
          <t>HR Director</t>
        </is>
      </c>
      <c r="M31" s="4" t="inlineStr">
        <is>
          <t>HR Management</t>
        </is>
      </c>
    </row>
    <row r="32">
      <c r="B32" s="40" t="inlineStr">
        <is>
          <t>PartP4</t>
        </is>
      </c>
      <c r="C32" s="10" t="inlineStr">
        <is>
          <t>Bank boundary</t>
        </is>
      </c>
      <c r="D32" s="10" t="inlineStr">
        <is>
          <t>PartP</t>
        </is>
      </c>
      <c r="E32" s="10" t="inlineStr">
        <is>
          <t>Supply</t>
        </is>
      </c>
      <c r="F32" s="4" t="inlineStr">
        <is>
          <t>Suppliers &amp; vendors — services in · payments out (tech · premises · professional)</t>
        </is>
      </c>
      <c r="G32" s="4" t="inlineStr">
        <is>
          <t>—</t>
        </is>
      </c>
      <c r="H32" s="10" t="inlineStr">
        <is>
          <t>HQ&lt;-&gt;suppliers</t>
        </is>
      </c>
      <c r="I32" s="10" t="inlineStr">
        <is>
          <t>mixed</t>
        </is>
      </c>
      <c r="J32" s="10" t="inlineStr">
        <is>
          <t>Procurement</t>
        </is>
      </c>
      <c r="K32" s="10" t="inlineStr">
        <is>
          <t>Procurement admin</t>
        </is>
      </c>
      <c r="L32" s="10" t="inlineStr">
        <is>
          <t>Head of Procurement</t>
        </is>
      </c>
      <c r="M32" s="4" t="inlineStr">
        <is>
          <t>Procurement · Fixed Asset Register</t>
        </is>
      </c>
    </row>
    <row r="33">
      <c r="B33" s="40" t="inlineStr">
        <is>
          <t>I1</t>
        </is>
      </c>
      <c r="C33" s="10" t="inlineStr">
        <is>
          <t>Bank boundary</t>
        </is>
      </c>
      <c r="D33" s="10" t="inlineStr">
        <is>
          <t>Info</t>
        </is>
      </c>
      <c r="E33" s="10" t="inlineStr">
        <is>
          <t>Info-out</t>
        </is>
      </c>
      <c r="F33" s="4" t="inlineStr">
        <is>
          <t>Regulatory returns &amp; reporting out (PRA · FCA · BoE)</t>
        </is>
      </c>
      <c r="G33" s="4" t="inlineStr">
        <is>
          <t>—</t>
        </is>
      </c>
      <c r="H33" s="10" t="inlineStr">
        <is>
          <t>HQ-&gt;regulator</t>
        </is>
      </c>
      <c r="I33" s="10" t="inlineStr">
        <is>
          <t>digital</t>
        </is>
      </c>
      <c r="J33" s="10" t="inlineStr">
        <is>
          <t>Reg reporting</t>
        </is>
      </c>
      <c r="K33" s="10" t="inlineStr">
        <is>
          <t>Finance admin</t>
        </is>
      </c>
      <c r="L33" s="10" t="inlineStr">
        <is>
          <t>Head of Regulatory Reporting</t>
        </is>
      </c>
      <c r="M33" s="4" t="inlineStr">
        <is>
          <t>Compliance Reporting · Regulatory Compliance</t>
        </is>
      </c>
    </row>
    <row r="34">
      <c r="B34" s="40" t="inlineStr">
        <is>
          <t>I2</t>
        </is>
      </c>
      <c r="C34" s="10" t="inlineStr">
        <is>
          <t>Bank boundary</t>
        </is>
      </c>
      <c r="D34" s="10" t="inlineStr">
        <is>
          <t>Info</t>
        </is>
      </c>
      <c r="E34" s="10" t="inlineStr">
        <is>
          <t>Info-out</t>
        </is>
      </c>
      <c r="F34" s="4" t="inlineStr">
        <is>
          <t>Credit performance data out to CRAs (reciprocity)</t>
        </is>
      </c>
      <c r="G34" s="4" t="inlineStr">
        <is>
          <t>—</t>
        </is>
      </c>
      <c r="H34" s="10" t="inlineStr">
        <is>
          <t>HQ-&gt;CRAs</t>
        </is>
      </c>
      <c r="I34" s="10" t="inlineStr">
        <is>
          <t>digital</t>
        </is>
      </c>
      <c r="J34" s="10" t="inlineStr">
        <is>
          <t>Credit ops</t>
        </is>
      </c>
      <c r="K34" s="10" t="inlineStr">
        <is>
          <t>—</t>
        </is>
      </c>
      <c r="L34" s="10" t="inlineStr">
        <is>
          <t>Credit Director</t>
        </is>
      </c>
      <c r="M34" s="4" t="inlineStr">
        <is>
          <t>Customer Credit Rating · External Agency</t>
        </is>
      </c>
    </row>
    <row r="35">
      <c r="B35" s="40" t="inlineStr">
        <is>
          <t>I3</t>
        </is>
      </c>
      <c r="C35" s="10" t="inlineStr">
        <is>
          <t>Bank boundary</t>
        </is>
      </c>
      <c r="D35" s="10" t="inlineStr">
        <is>
          <t>Info</t>
        </is>
      </c>
      <c r="E35" s="10" t="inlineStr">
        <is>
          <t>Info-out</t>
        </is>
      </c>
      <c r="F35" s="4" t="inlineStr">
        <is>
          <t>Open Banking data out to TPPs (customer-permissioned, via E3)</t>
        </is>
      </c>
      <c r="G35" s="4" t="inlineStr">
        <is>
          <t>—</t>
        </is>
      </c>
      <c r="H35" s="10" t="inlineStr">
        <is>
          <t>HQ-&gt;TPPs</t>
        </is>
      </c>
      <c r="I35" s="10" t="inlineStr">
        <is>
          <t>digital</t>
        </is>
      </c>
      <c r="J35" s="10" t="inlineStr">
        <is>
          <t>Digital · IT</t>
        </is>
      </c>
      <c r="K35" s="10" t="inlineStr">
        <is>
          <t>—</t>
        </is>
      </c>
      <c r="L35" s="10" t="inlineStr">
        <is>
          <t>Head of Digital</t>
        </is>
      </c>
      <c r="M35" s="4" t="inlineStr">
        <is>
          <t>Financial Message Gateway</t>
        </is>
      </c>
    </row>
    <row r="37">
      <c r="B37" s="7" t="inlineStr">
        <is>
          <t>PER-FLOW COSTED ACTIVITIES &amp; DRI — activity cost per flow with [low, high] band; one accountable owner per flow</t>
        </is>
      </c>
      <c r="C37" s="8" t="inlineStr"/>
      <c r="D37" s="8" t="inlineStr"/>
      <c r="E37" s="8" t="inlineStr"/>
      <c r="F37" s="8" t="inlineStr"/>
      <c r="G37" s="8" t="inlineStr"/>
      <c r="H37" s="8" t="inlineStr"/>
      <c r="I37" s="8" t="inlineStr"/>
      <c r="J37" s="8" t="inlineStr"/>
      <c r="K37" s="8" t="inlineStr"/>
    </row>
    <row r="38">
      <c r="B38" s="43" t="inlineStr">
        <is>
          <t>Flow</t>
        </is>
      </c>
      <c r="C38" s="43" t="inlineStr">
        <is>
          <t>DRI (single accountable owner)</t>
        </is>
      </c>
      <c r="D38" s="43" t="inlineStr">
        <is>
          <t>Activity cost (£/yr)</t>
        </is>
      </c>
      <c r="E38" s="43" t="inlineStr">
        <is>
          <t>Low (£/yr)</t>
        </is>
      </c>
      <c r="F38" s="43" t="inlineStr">
        <is>
          <t>High (£/yr)</t>
        </is>
      </c>
      <c r="G38" s="43" t="inlineStr">
        <is>
          <t>Costed via</t>
        </is>
      </c>
    </row>
    <row r="39">
      <c r="B39" s="40" t="inlineStr">
        <is>
          <t>CP1</t>
        </is>
      </c>
      <c r="C39" s="10" t="inlineStr">
        <is>
          <t>Head of Marketing</t>
        </is>
      </c>
      <c r="D39" s="44">
        <f>SUMIF('3. HR &amp; Activity'!$I$11:$I$33,"*CP1*",'3. HR &amp; Activity'!$H$11:$H$33)</f>
        <v/>
      </c>
      <c r="E39" s="44">
        <f>SUMIF('3. HR &amp; Activity'!$I$11:$I$33,"*CP1*",'3. HR &amp; Activity'!$J$11:$J$33)</f>
        <v/>
      </c>
      <c r="F39" s="44">
        <f>SUMIF('3. HR &amp; Activity'!$I$11:$I$33,"*CP1*",'3. HR &amp; Activity'!$K$11:$K$33)</f>
        <v/>
      </c>
      <c r="G39" s="5" t="inlineStr">
        <is>
          <t>HQ marketing &amp; brand pool (in hq_oh) + launch marketing — no activity rows; pool-costed</t>
        </is>
      </c>
    </row>
    <row r="40">
      <c r="B40" s="40" t="inlineStr">
        <is>
          <t>CA-WP</t>
        </is>
      </c>
      <c r="C40" s="10" t="inlineStr">
        <is>
          <t>Head of Business Current Accounts</t>
        </is>
      </c>
      <c r="D40" s="44">
        <f>SUMIF('3. HR &amp; Activity'!$I$11:$I$33,"*CA-WP*",'3. HR &amp; Activity'!$H$11:$H$33)</f>
        <v/>
      </c>
      <c r="E40" s="44">
        <f>SUMIF('3. HR &amp; Activity'!$I$11:$I$33,"*CA-WP*",'3. HR &amp; Activity'!$J$11:$J$33)</f>
        <v/>
      </c>
      <c r="F40" s="44">
        <f>SUMIF('3. HR &amp; Activity'!$I$11:$I$33,"*CA-WP*",'3. HR &amp; Activity'!$K$11:$K$33)</f>
        <v/>
      </c>
      <c r="G40" s="5" t="inlineStr">
        <is>
          <t>Activity rows (onboarding incl. KYC screening · account servicing) + per-account infrastructure drivers</t>
        </is>
      </c>
    </row>
    <row r="41">
      <c r="B41" s="40" t="inlineStr">
        <is>
          <t>CA-PP1</t>
        </is>
      </c>
      <c r="C41" s="10" t="inlineStr">
        <is>
          <t>Head of Business Current Accounts</t>
        </is>
      </c>
      <c r="D41" s="44">
        <f>SUMIF('3. HR &amp; Activity'!$I$11:$I$33,"*CA-PP1*",'3. HR &amp; Activity'!$H$11:$H$33)</f>
        <v/>
      </c>
      <c r="E41" s="44">
        <f>SUMIF('3. HR &amp; Activity'!$I$11:$I$33,"*CA-PP1*",'3. HR &amp; Activity'!$J$11:$J$33)</f>
        <v/>
      </c>
      <c r="F41" s="44">
        <f>SUMIF('3. HR &amp; Activity'!$I$11:$I$33,"*CA-PP1*",'3. HR &amp; Activity'!$K$11:$K$33)</f>
        <v/>
      </c>
      <c r="G41" s="5" t="inlineStr">
        <is>
          <t>Billing inside payments infrastructure (pay_bca driver)</t>
        </is>
      </c>
    </row>
    <row r="42">
      <c r="B42" s="40" t="inlineStr">
        <is>
          <t>SV-WP</t>
        </is>
      </c>
      <c r="C42" s="10" t="inlineStr">
        <is>
          <t>Head of Deposits</t>
        </is>
      </c>
      <c r="D42" s="44">
        <f>SUMIF('3. HR &amp; Activity'!$I$11:$I$33,"*SV-WP*",'3. HR &amp; Activity'!$H$11:$H$33)</f>
        <v/>
      </c>
      <c r="E42" s="44">
        <f>SUMIF('3. HR &amp; Activity'!$I$11:$I$33,"*SV-WP*",'3. HR &amp; Activity'!$J$11:$J$33)</f>
        <v/>
      </c>
      <c r="F42" s="44">
        <f>SUMIF('3. HR &amp; Activity'!$I$11:$I$33,"*SV-WP*",'3. HR &amp; Activity'!$K$11:$K$33)</f>
        <v/>
      </c>
      <c r="G42" s="5" t="inlineStr">
        <is>
          <t>Activity rows (savings &amp; deposit servicing)</t>
        </is>
      </c>
    </row>
    <row r="43">
      <c r="B43" s="40" t="inlineStr">
        <is>
          <t>SV-PP1</t>
        </is>
      </c>
      <c r="C43" s="10" t="inlineStr">
        <is>
          <t>Treasurer</t>
        </is>
      </c>
      <c r="D43" s="44">
        <f>SUMIF('3. HR &amp; Activity'!$I$11:$I$33,"*SV-PP1*",'3. HR &amp; Activity'!$H$11:$H$33)</f>
        <v/>
      </c>
      <c r="E43" s="44">
        <f>SUMIF('3. HR &amp; Activity'!$I$11:$I$33,"*SV-PP1*",'3. HR &amp; Activity'!$J$11:$J$33)</f>
        <v/>
      </c>
      <c r="F43" s="44">
        <f>SUMIF('3. HR &amp; Activity'!$I$11:$I$33,"*SV-PP1*",'3. HR &amp; Activity'!$K$11:$K$33)</f>
        <v/>
      </c>
      <c r="G43" s="5" t="inlineStr">
        <is>
          <t>Treasury/settlement — infrastructure drivers, no front-line activity rows</t>
        </is>
      </c>
    </row>
    <row r="44">
      <c r="B44" s="40" t="inlineStr">
        <is>
          <t>SV-PP2</t>
        </is>
      </c>
      <c r="C44" s="10" t="inlineStr">
        <is>
          <t>Treasurer</t>
        </is>
      </c>
      <c r="D44" s="44">
        <f>SUMIF('3. HR &amp; Activity'!$I$11:$I$33,"*SV-PP2*",'3. HR &amp; Activity'!$H$11:$H$33)</f>
        <v/>
      </c>
      <c r="E44" s="44">
        <f>SUMIF('3. HR &amp; Activity'!$I$11:$I$33,"*SV-PP2*",'3. HR &amp; Activity'!$J$11:$J$33)</f>
        <v/>
      </c>
      <c r="F44" s="44">
        <f>SUMIF('3. HR &amp; Activity'!$I$11:$I$33,"*SV-PP2*",'3. HR &amp; Activity'!$K$11:$K$33)</f>
        <v/>
      </c>
      <c r="G44" s="5" t="inlineStr">
        <is>
          <t>Interest posting — automated; core banking driver (core_acct)</t>
        </is>
      </c>
    </row>
    <row r="45">
      <c r="B45" s="40" t="inlineStr">
        <is>
          <t>LN-WP</t>
        </is>
      </c>
      <c r="C45" s="10" t="inlineStr">
        <is>
          <t>Credit Director</t>
        </is>
      </c>
      <c r="D45" s="44">
        <f>SUMIF('3. HR &amp; Activity'!$I$11:$I$33,"*LN-WP*",'3. HR &amp; Activity'!$H$11:$H$33)</f>
        <v/>
      </c>
      <c r="E45" s="44">
        <f>SUMIF('3. HR &amp; Activity'!$I$11:$I$33,"*LN-WP*",'3. HR &amp; Activity'!$J$11:$J$33)</f>
        <v/>
      </c>
      <c r="F45" s="44">
        <f>SUMIF('3. HR &amp; Activity'!$I$11:$I$33,"*LN-WP*",'3. HR &amp; Activity'!$K$11:$K$33)</f>
        <v/>
      </c>
      <c r="G45" s="5" t="inlineStr">
        <is>
          <t>Activity rows (underwriting · reviews · IF monitoring · collections · collateral · workout) + RM origination/stewardship (tab 3 RM system)</t>
        </is>
      </c>
    </row>
    <row r="46">
      <c r="B46" s="40" t="inlineStr">
        <is>
          <t>LN-PP1</t>
        </is>
      </c>
      <c r="C46" s="10" t="inlineStr">
        <is>
          <t>Treasurer</t>
        </is>
      </c>
      <c r="D46" s="44">
        <f>SUMIF('3. HR &amp; Activity'!$I$11:$I$33,"*LN-PP1*",'3. HR &amp; Activity'!$H$11:$H$33)</f>
        <v/>
      </c>
      <c r="E46" s="44">
        <f>SUMIF('3. HR &amp; Activity'!$I$11:$I$33,"*LN-PP1*",'3. HR &amp; Activity'!$J$11:$J$33)</f>
        <v/>
      </c>
      <c r="F46" s="44">
        <f>SUMIF('3. HR &amp; Activity'!$I$11:$I$33,"*LN-PP1*",'3. HR &amp; Activity'!$K$11:$K$33)</f>
        <v/>
      </c>
      <c r="G46" s="5" t="inlineStr">
        <is>
          <t>Drawdown execution — payments infrastructure</t>
        </is>
      </c>
    </row>
    <row r="47">
      <c r="B47" s="40" t="inlineStr">
        <is>
          <t>LN-PP2</t>
        </is>
      </c>
      <c r="C47" s="10" t="inlineStr">
        <is>
          <t>Head of Payments &amp; FX</t>
        </is>
      </c>
      <c r="D47" s="44">
        <f>SUMIF('3. HR &amp; Activity'!$I$11:$I$33,"*LN-PP2*",'3. HR &amp; Activity'!$H$11:$H$33)</f>
        <v/>
      </c>
      <c r="E47" s="44">
        <f>SUMIF('3. HR &amp; Activity'!$I$11:$I$33,"*LN-PP2*",'3. HR &amp; Activity'!$J$11:$J$33)</f>
        <v/>
      </c>
      <c r="F47" s="44">
        <f>SUMIF('3. HR &amp; Activity'!$I$11:$I$33,"*LN-PP2*",'3. HR &amp; Activity'!$K$11:$K$33)</f>
        <v/>
      </c>
      <c r="G47" s="5" t="inlineStr">
        <is>
          <t>Collection &amp; application of repayments — payments infrastructure</t>
        </is>
      </c>
    </row>
    <row r="48">
      <c r="B48" s="40" t="inlineStr">
        <is>
          <t>CC-WP</t>
        </is>
      </c>
      <c r="C48" s="10" t="inlineStr">
        <is>
          <t>Head of Cards</t>
        </is>
      </c>
      <c r="D48" s="44">
        <f>SUMIF('3. HR &amp; Activity'!$I$11:$I$33,"*CC-WP*",'3. HR &amp; Activity'!$H$11:$H$33)</f>
        <v/>
      </c>
      <c r="E48" s="44">
        <f>SUMIF('3. HR &amp; Activity'!$I$11:$I$33,"*CC-WP*",'3. HR &amp; Activity'!$J$11:$J$33)</f>
        <v/>
      </c>
      <c r="F48" s="44">
        <f>SUMIF('3. HR &amp; Activity'!$I$11:$I$33,"*CC-WP*",'3. HR &amp; Activity'!$K$11:$K$33)</f>
        <v/>
      </c>
      <c r="G48" s="5" t="inlineStr">
        <is>
          <t>Activity rows (card servicing · card collections) + credit systems driver (credit_fac)</t>
        </is>
      </c>
    </row>
    <row r="49">
      <c r="B49" s="40" t="inlineStr">
        <is>
          <t>CC-PP1</t>
        </is>
      </c>
      <c r="C49" s="10" t="inlineStr">
        <is>
          <t>Head of Cards</t>
        </is>
      </c>
      <c r="D49" s="44">
        <f>SUMIF('3. HR &amp; Activity'!$I$11:$I$33,"*CC-PP1*",'3. HR &amp; Activity'!$H$11:$H$33)</f>
        <v/>
      </c>
      <c r="E49" s="44">
        <f>SUMIF('3. HR &amp; Activity'!$I$11:$I$33,"*CC-PP1*",'3. HR &amp; Activity'!$J$11:$J$33)</f>
        <v/>
      </c>
      <c r="F49" s="44">
        <f>SUMIF('3. HR &amp; Activity'!$I$11:$I$33,"*CC-PP1*",'3. HR &amp; Activity'!$K$11:$K$33)</f>
        <v/>
      </c>
      <c r="G49" s="5" t="inlineStr">
        <is>
          <t>Scheme settlement — scheme fees inside tech pool</t>
        </is>
      </c>
    </row>
    <row r="50">
      <c r="B50" s="40" t="inlineStr">
        <is>
          <t>CC-PP2</t>
        </is>
      </c>
      <c r="C50" s="10" t="inlineStr">
        <is>
          <t>Head of Cards</t>
        </is>
      </c>
      <c r="D50" s="44">
        <f>SUMIF('3. HR &amp; Activity'!$I$11:$I$33,"*CC-PP2*",'3. HR &amp; Activity'!$H$11:$H$33)</f>
        <v/>
      </c>
      <c r="E50" s="44">
        <f>SUMIF('3. HR &amp; Activity'!$I$11:$I$33,"*CC-PP2*",'3. HR &amp; Activity'!$J$11:$J$33)</f>
        <v/>
      </c>
      <c r="F50" s="44">
        <f>SUMIF('3. HR &amp; Activity'!$I$11:$I$33,"*CC-PP2*",'3. HR &amp; Activity'!$K$11:$K$33)</f>
        <v/>
      </c>
      <c r="G50" s="5" t="inlineStr">
        <is>
          <t>Interchange collection — scheme rails</t>
        </is>
      </c>
    </row>
    <row r="51">
      <c r="B51" s="40" t="inlineStr">
        <is>
          <t>PX-WP</t>
        </is>
      </c>
      <c r="C51" s="10" t="inlineStr">
        <is>
          <t>Head of Payments &amp; FX</t>
        </is>
      </c>
      <c r="D51" s="44">
        <f>SUMIF('3. HR &amp; Activity'!$I$11:$I$33,"*PX-WP*",'3. HR &amp; Activity'!$H$11:$H$33)</f>
        <v/>
      </c>
      <c r="E51" s="44">
        <f>SUMIF('3. HR &amp; Activity'!$I$11:$I$33,"*PX-WP*",'3. HR &amp; Activity'!$J$11:$J$33)</f>
        <v/>
      </c>
      <c r="F51" s="44">
        <f>SUMIF('3. HR &amp; Activity'!$I$11:$I$33,"*PX-WP*",'3. HR &amp; Activity'!$K$11:$K$33)</f>
        <v/>
      </c>
      <c r="G51" s="5" t="inlineStr">
        <is>
          <t>Activity rows (payments &amp; FX support) + payments processing driver (pay_bca)</t>
        </is>
      </c>
    </row>
    <row r="52">
      <c r="B52" s="40" t="inlineStr">
        <is>
          <t>PX-PP1</t>
        </is>
      </c>
      <c r="C52" s="10" t="inlineStr">
        <is>
          <t>Head of Payments &amp; FX</t>
        </is>
      </c>
      <c r="D52" s="44">
        <f>SUMIF('3. HR &amp; Activity'!$I$11:$I$33,"*PX-PP1*",'3. HR &amp; Activity'!$H$11:$H$33)</f>
        <v/>
      </c>
      <c r="E52" s="44">
        <f>SUMIF('3. HR &amp; Activity'!$I$11:$I$33,"*PX-PP1*",'3. HR &amp; Activity'!$J$11:$J$33)</f>
        <v/>
      </c>
      <c r="F52" s="44">
        <f>SUMIF('3. HR &amp; Activity'!$I$11:$I$33,"*PX-PP1*",'3. HR &amp; Activity'!$K$11:$K$33)</f>
        <v/>
      </c>
      <c r="G52" s="5" t="inlineStr">
        <is>
          <t>Payment execution — payments infrastructure + scheme fees</t>
        </is>
      </c>
    </row>
    <row r="53">
      <c r="B53" s="40" t="inlineStr">
        <is>
          <t>PX-PP2</t>
        </is>
      </c>
      <c r="C53" s="10" t="inlineStr">
        <is>
          <t>Head of Payments &amp; FX</t>
        </is>
      </c>
      <c r="D53" s="44">
        <f>SUMIF('3. HR &amp; Activity'!$I$11:$I$33,"*PX-PP2*",'3. HR &amp; Activity'!$H$11:$H$33)</f>
        <v/>
      </c>
      <c r="E53" s="44">
        <f>SUMIF('3. HR &amp; Activity'!$I$11:$I$33,"*PX-PP2*",'3. HR &amp; Activity'!$J$11:$J$33)</f>
        <v/>
      </c>
      <c r="F53" s="44">
        <f>SUMIF('3. HR &amp; Activity'!$I$11:$I$33,"*PX-PP2*",'3. HR &amp; Activity'!$K$11:$K$33)</f>
        <v/>
      </c>
      <c r="G53" s="5" t="inlineStr">
        <is>
          <t>Receipt processing — payments infrastructure</t>
        </is>
      </c>
    </row>
    <row r="54">
      <c r="B54" s="40" t="inlineStr">
        <is>
          <t>E1</t>
        </is>
      </c>
      <c r="C54" s="10" t="inlineStr">
        <is>
          <t>Head of Digital</t>
        </is>
      </c>
      <c r="D54" s="44">
        <f>SUMIF('3. HR &amp; Activity'!$I$11:$I$33,"*E1*",'3. HR &amp; Activity'!$H$11:$H$33)</f>
        <v/>
      </c>
      <c r="E54" s="44">
        <f>SUMIF('3. HR &amp; Activity'!$I$11:$I$33,"*E1*",'3. HR &amp; Activity'!$J$11:$J$33)</f>
        <v/>
      </c>
      <c r="F54" s="44">
        <f>SUMIF('3. HR &amp; Activity'!$I$11:$I$33,"*E1*",'3. HR &amp; Activity'!$K$11:$K$33)</f>
        <v/>
      </c>
      <c r="G54" s="5" t="inlineStr">
        <is>
          <t>Tech per-customer driver (tech_acct) + HQ tech pool — no activity rows</t>
        </is>
      </c>
    </row>
    <row r="55">
      <c r="B55" s="40" t="inlineStr">
        <is>
          <t>E2</t>
        </is>
      </c>
      <c r="C55" s="10" t="inlineStr">
        <is>
          <t>Head of Business Current Accounts</t>
        </is>
      </c>
      <c r="D55" s="44">
        <f>SUMIF('3. HR &amp; Activity'!$I$11:$I$33,"*E2*",'3. HR &amp; Activity'!$H$11:$H$33)</f>
        <v/>
      </c>
      <c r="E55" s="44">
        <f>SUMIF('3. HR &amp; Activity'!$I$11:$I$33,"*E2*",'3. HR &amp; Activity'!$J$11:$J$33)</f>
        <v/>
      </c>
      <c r="F55" s="44">
        <f>SUMIF('3. HR &amp; Activity'!$I$11:$I$33,"*E2*",'3. HR &amp; Activity'!$K$11:$K$33)</f>
        <v/>
      </c>
      <c r="G55" s="5" t="inlineStr">
        <is>
          <t>Card issuance &amp; scheme costs — tech pool</t>
        </is>
      </c>
    </row>
    <row r="56">
      <c r="B56" s="40" t="inlineStr">
        <is>
          <t>E3</t>
        </is>
      </c>
      <c r="C56" s="10" t="inlineStr">
        <is>
          <t>Head of Digital</t>
        </is>
      </c>
      <c r="D56" s="44">
        <f>SUMIF('3. HR &amp; Activity'!$I$11:$I$33,"*E3*",'3. HR &amp; Activity'!$H$11:$H$33)</f>
        <v/>
      </c>
      <c r="E56" s="44">
        <f>SUMIF('3. HR &amp; Activity'!$I$11:$I$33,"*E3*",'3. HR &amp; Activity'!$J$11:$J$33)</f>
        <v/>
      </c>
      <c r="F56" s="44">
        <f>SUMIF('3. HR &amp; Activity'!$I$11:$I$33,"*E3*",'3. HR &amp; Activity'!$K$11:$K$33)</f>
        <v/>
      </c>
      <c r="G56" s="5" t="inlineStr">
        <is>
          <t>API/gateway — HQ tech pool</t>
        </is>
      </c>
    </row>
    <row r="57">
      <c r="B57" s="40" t="inlineStr">
        <is>
          <t>E4</t>
        </is>
      </c>
      <c r="C57" s="10" t="inlineStr">
        <is>
          <t>Head of Information Security</t>
        </is>
      </c>
      <c r="D57" s="44">
        <f>SUMIF('3. HR &amp; Activity'!$I$11:$I$33,"*E4*",'3. HR &amp; Activity'!$H$11:$H$33)</f>
        <v/>
      </c>
      <c r="E57" s="44">
        <f>SUMIF('3. HR &amp; Activity'!$I$11:$I$33,"*E4*",'3. HR &amp; Activity'!$J$11:$J$33)</f>
        <v/>
      </c>
      <c r="F57" s="44">
        <f>SUMIF('3. HR &amp; Activity'!$I$11:$I$33,"*E4*",'3. HR &amp; Activity'!$K$11:$K$33)</f>
        <v/>
      </c>
      <c r="G57" s="5" t="inlineStr">
        <is>
          <t>Authentication &amp; entitlement — HQ tech pool; KYC screening costed inside CA-WP onboarding</t>
        </is>
      </c>
    </row>
    <row r="58">
      <c r="B58" s="40" t="inlineStr">
        <is>
          <t>E5</t>
        </is>
      </c>
      <c r="C58" s="10" t="inlineStr">
        <is>
          <t>Head of Operations</t>
        </is>
      </c>
      <c r="D58" s="44">
        <f>SUMIF('3. HR &amp; Activity'!$I$11:$I$33,"*E5*",'3. HR &amp; Activity'!$H$11:$H$33)</f>
        <v/>
      </c>
      <c r="E58" s="44">
        <f>SUMIF('3. HR &amp; Activity'!$I$11:$I$33,"*E5*",'3. HR &amp; Activity'!$J$11:$J$33)</f>
        <v/>
      </c>
      <c r="F58" s="44">
        <f>SUMIF('3. HR &amp; Activity'!$I$11:$I$33,"*E5*",'3. HR &amp; Activity'!$K$11:$K$33)</f>
        <v/>
      </c>
      <c r="G58" s="5" t="inlineStr">
        <is>
          <t>Document store — HQ tech pool</t>
        </is>
      </c>
    </row>
    <row r="59">
      <c r="B59" s="40" t="inlineStr">
        <is>
          <t>S1</t>
        </is>
      </c>
      <c r="C59" s="10" t="inlineStr">
        <is>
          <t>Head of Customer Service</t>
        </is>
      </c>
      <c r="D59" s="44">
        <f>SUMIF('3. HR &amp; Activity'!$I$11:$I$33,"*S1*",'3. HR &amp; Activity'!$H$11:$H$33)</f>
        <v/>
      </c>
      <c r="E59" s="44">
        <f>SUMIF('3. HR &amp; Activity'!$I$11:$I$33,"*S1*",'3. HR &amp; Activity'!$J$11:$J$33)</f>
        <v/>
      </c>
      <c r="F59" s="44">
        <f>SUMIF('3. HR &amp; Activity'!$I$11:$I$33,"*S1*",'3. HR &amp; Activity'!$K$11:$K$33)</f>
        <v/>
      </c>
      <c r="G59" s="5" t="inlineStr">
        <is>
          <t>Contact-centre share of servicing activity rows (t_bca et al.)</t>
        </is>
      </c>
    </row>
    <row r="60">
      <c r="B60" s="40" t="inlineStr">
        <is>
          <t>S2</t>
        </is>
      </c>
      <c r="C60" s="10" t="inlineStr">
        <is>
          <t>Head of Operations</t>
        </is>
      </c>
      <c r="D60" s="44">
        <f>SUMIF('3. HR &amp; Activity'!$I$11:$I$33,"*S2*",'3. HR &amp; Activity'!$H$11:$H$33)</f>
        <v/>
      </c>
      <c r="E60" s="44">
        <f>SUMIF('3. HR &amp; Activity'!$I$11:$I$33,"*S2*",'3. HR &amp; Activity'!$J$11:$J$33)</f>
        <v/>
      </c>
      <c r="F60" s="44">
        <f>SUMIF('3. HR &amp; Activity'!$I$11:$I$33,"*S2*",'3. HR &amp; Activity'!$K$11:$K$33)</f>
        <v/>
      </c>
      <c r="G60" s="5" t="inlineStr">
        <is>
          <t>Statement generation — automated; core banking driver</t>
        </is>
      </c>
    </row>
    <row r="61">
      <c r="B61" s="40" t="inlineStr">
        <is>
          <t>S3</t>
        </is>
      </c>
      <c r="C61" s="10" t="inlineStr">
        <is>
          <t>Head of Conduct &amp; Complaints</t>
        </is>
      </c>
      <c r="D61" s="44">
        <f>SUMIF('3. HR &amp; Activity'!$I$11:$I$33,"*S3*",'3. HR &amp; Activity'!$H$11:$H$33)</f>
        <v/>
      </c>
      <c r="E61" s="44">
        <f>SUMIF('3. HR &amp; Activity'!$I$11:$I$33,"*S3*",'3. HR &amp; Activity'!$J$11:$J$33)</f>
        <v/>
      </c>
      <c r="F61" s="44">
        <f>SUMIF('3. HR &amp; Activity'!$I$11:$I$33,"*S3*",'3. HR &amp; Activity'!$K$11:$K$33)</f>
        <v/>
      </c>
      <c r="G61" s="5" t="inlineStr">
        <is>
          <t>Complaint handling — inside HQ risk pool; add an activity row if volumes become material</t>
        </is>
      </c>
    </row>
    <row r="62">
      <c r="B62" s="40" t="inlineStr">
        <is>
          <t>S4</t>
        </is>
      </c>
      <c r="C62" s="10" t="inlineStr">
        <is>
          <t>Head of Financial Crime</t>
        </is>
      </c>
      <c r="D62" s="44">
        <f>SUMIF('3. HR &amp; Activity'!$I$11:$I$33,"*S4*",'3. HR &amp; Activity'!$H$11:$H$33)</f>
        <v/>
      </c>
      <c r="E62" s="44">
        <f>SUMIF('3. HR &amp; Activity'!$I$11:$I$33,"*S4*",'3. HR &amp; Activity'!$J$11:$J$33)</f>
        <v/>
      </c>
      <c r="F62" s="44">
        <f>SUMIF('3. HR &amp; Activity'!$I$11:$I$33,"*S4*",'3. HR &amp; Activity'!$K$11:$K$33)</f>
        <v/>
      </c>
      <c r="G62" s="5" t="inlineStr">
        <is>
          <t>Fraud ops — HQ risk pool + fraud loss line (P&amp;L); reimbursement outflow shown in fidelity table</t>
        </is>
      </c>
    </row>
    <row r="63">
      <c r="B63" s="40" t="inlineStr">
        <is>
          <t>PartP1</t>
        </is>
      </c>
      <c r="C63" s="10" t="inlineStr">
        <is>
          <t>Treasurer</t>
        </is>
      </c>
      <c r="D63" s="44">
        <f>SUMIF('3. HR &amp; Activity'!$I$11:$I$33,"*PartP1*",'3. HR &amp; Activity'!$H$11:$H$33)</f>
        <v/>
      </c>
      <c r="E63" s="44">
        <f>SUMIF('3. HR &amp; Activity'!$I$11:$I$33,"*PartP1*",'3. HR &amp; Activity'!$J$11:$J$33)</f>
        <v/>
      </c>
      <c r="F63" s="44">
        <f>SUMIF('3. HR &amp; Activity'!$I$11:$I$33,"*PartP1*",'3. HR &amp; Activity'!$K$11:$K$33)</f>
        <v/>
      </c>
      <c r="G63" s="5" t="inlineStr">
        <is>
          <t>Treasury &amp; partner management — HQ pools</t>
        </is>
      </c>
    </row>
    <row r="64">
      <c r="B64" s="40" t="inlineStr">
        <is>
          <t>PartP2</t>
        </is>
      </c>
      <c r="C64" s="10" t="inlineStr">
        <is>
          <t>CFO</t>
        </is>
      </c>
      <c r="D64" s="44">
        <f>SUMIF('3. HR &amp; Activity'!$I$11:$I$33,"*PartP2*",'3. HR &amp; Activity'!$H$11:$H$33)</f>
        <v/>
      </c>
      <c r="E64" s="44">
        <f>SUMIF('3. HR &amp; Activity'!$I$11:$I$33,"*PartP2*",'3. HR &amp; Activity'!$J$11:$J$33)</f>
        <v/>
      </c>
      <c r="F64" s="44">
        <f>SUMIF('3. HR &amp; Activity'!$I$11:$I$33,"*PartP2*",'3. HR &amp; Activity'!$K$11:$K$33)</f>
        <v/>
      </c>
      <c r="G64" s="5" t="inlineStr">
        <is>
          <t>Equity servicing — required return line (tab 5)</t>
        </is>
      </c>
    </row>
    <row r="65">
      <c r="B65" s="40" t="inlineStr">
        <is>
          <t>PartP3</t>
        </is>
      </c>
      <c r="C65" s="10" t="inlineStr">
        <is>
          <t>HR Director</t>
        </is>
      </c>
      <c r="D65" s="44">
        <f>SUMIF('3. HR &amp; Activity'!$I$11:$I$33,"*PartP3*",'3. HR &amp; Activity'!$H$11:$H$33)</f>
        <v/>
      </c>
      <c r="E65" s="44">
        <f>SUMIF('3. HR &amp; Activity'!$I$11:$I$33,"*PartP3*",'3. HR &amp; Activity'!$J$11:$J$33)</f>
        <v/>
      </c>
      <c r="F65" s="44">
        <f>SUMIF('3. HR &amp; Activity'!$I$11:$I$33,"*PartP3*",'3. HR &amp; Activity'!$K$11:$K$33)</f>
        <v/>
      </c>
      <c r="G65" s="5" t="inlineStr">
        <is>
          <t>ALL front-line salary cost = the activity rows themselves; HQ salaries in HQ pools</t>
        </is>
      </c>
    </row>
    <row r="66">
      <c r="B66" s="40" t="inlineStr">
        <is>
          <t>PartP4</t>
        </is>
      </c>
      <c r="C66" s="10" t="inlineStr">
        <is>
          <t>Head of Procurement</t>
        </is>
      </c>
      <c r="D66" s="44">
        <f>SUMIF('3. HR &amp; Activity'!$I$11:$I$33,"*PartP4*",'3. HR &amp; Activity'!$H$11:$H$33)</f>
        <v/>
      </c>
      <c r="E66" s="44">
        <f>SUMIF('3. HR &amp; Activity'!$I$11:$I$33,"*PartP4*",'3. HR &amp; Activity'!$J$11:$J$33)</f>
        <v/>
      </c>
      <c r="F66" s="44">
        <f>SUMIF('3. HR &amp; Activity'!$I$11:$I$33,"*PartP4*",'3. HR &amp; Activity'!$K$11:$K$33)</f>
        <v/>
      </c>
      <c r="G66" s="5" t="inlineStr">
        <is>
          <t>Premises · depreciation · other · tech vendor lines (tab 4)</t>
        </is>
      </c>
    </row>
    <row r="67">
      <c r="B67" s="40" t="inlineStr">
        <is>
          <t>I1</t>
        </is>
      </c>
      <c r="C67" s="10" t="inlineStr">
        <is>
          <t>Head of Regulatory Reporting</t>
        </is>
      </c>
      <c r="D67" s="44">
        <f>SUMIF('3. HR &amp; Activity'!$I$11:$I$33,"*I1*",'3. HR &amp; Activity'!$H$11:$H$33)</f>
        <v/>
      </c>
      <c r="E67" s="44">
        <f>SUMIF('3. HR &amp; Activity'!$I$11:$I$33,"*I1*",'3. HR &amp; Activity'!$J$11:$J$33)</f>
        <v/>
      </c>
      <c r="F67" s="44">
        <f>SUMIF('3. HR &amp; Activity'!$I$11:$I$33,"*I1*",'3. HR &amp; Activity'!$K$11:$K$33)</f>
        <v/>
      </c>
      <c r="G67" s="5" t="inlineStr">
        <is>
          <t>Reg reporting — HQ risk/finance pools</t>
        </is>
      </c>
    </row>
    <row r="68">
      <c r="B68" s="40" t="inlineStr">
        <is>
          <t>I2</t>
        </is>
      </c>
      <c r="C68" s="10" t="inlineStr">
        <is>
          <t>Credit Director</t>
        </is>
      </c>
      <c r="D68" s="44">
        <f>SUMIF('3. HR &amp; Activity'!$I$11:$I$33,"*I2*",'3. HR &amp; Activity'!$H$11:$H$33)</f>
        <v/>
      </c>
      <c r="E68" s="44">
        <f>SUMIF('3. HR &amp; Activity'!$I$11:$I$33,"*I2*",'3. HR &amp; Activity'!$J$11:$J$33)</f>
        <v/>
      </c>
      <c r="F68" s="44">
        <f>SUMIF('3. HR &amp; Activity'!$I$11:$I$33,"*I2*",'3. HR &amp; Activity'!$K$11:$K$33)</f>
        <v/>
      </c>
      <c r="G68" s="5" t="inlineStr">
        <is>
          <t>Bureau reciprocity feeds — credit systems driver</t>
        </is>
      </c>
    </row>
    <row r="69">
      <c r="B69" s="40" t="inlineStr">
        <is>
          <t>I3</t>
        </is>
      </c>
      <c r="C69" s="10" t="inlineStr">
        <is>
          <t>Head of Digital</t>
        </is>
      </c>
      <c r="D69" s="44">
        <f>SUMIF('3. HR &amp; Activity'!$I$11:$I$33,"*I3*",'3. HR &amp; Activity'!$H$11:$H$33)</f>
        <v/>
      </c>
      <c r="E69" s="44">
        <f>SUMIF('3. HR &amp; Activity'!$I$11:$I$33,"*I3*",'3. HR &amp; Activity'!$J$11:$J$33)</f>
        <v/>
      </c>
      <c r="F69" s="44">
        <f>SUMIF('3. HR &amp; Activity'!$I$11:$I$33,"*I3*",'3. HR &amp; Activity'!$K$11:$K$33)</f>
        <v/>
      </c>
      <c r="G69" s="5" t="inlineStr">
        <is>
          <t>Open Banking service — HQ tech pool</t>
        </is>
      </c>
    </row>
    <row r="70">
      <c r="B70" s="49" t="inlineStr">
        <is>
          <t>CHECK — activity costs fully allocated to flows</t>
        </is>
      </c>
      <c r="D70" s="44">
        <f>SUMPRODUCT(('3. HR &amp; Activity'!$I$11:$I$33&lt;&gt;"")*'3. HR &amp; Activity'!$H$11:$H$33)-('4. Running Costs'!$C$24)</f>
        <v/>
      </c>
      <c r="G70" s="14" t="inlineStr">
        <is>
          <t>tagged activity cost minus analyst &amp; service payroll → 0 when every activity row carries a flow tag</t>
        </is>
      </c>
    </row>
    <row r="72">
      <c r="B72" s="5" t="inlineStr">
        <is>
          <t>A zero in 'Activity cost' does NOT mean a free flow — see 'Costed via': those flows are costed through per-account drivers, HQ pools, or P&amp;L lines. Bands are the default ±(act_lo/act_hi) factors pending evidenced per-activity ranges (IVE TPM discipline).</t>
        </is>
      </c>
    </row>
    <row r="74">
      <c r="B74" s="7" t="inlineStr">
        <is>
          <t>BANK-BOUNDARY FIDELITY CHECK — every P&amp;L money outflow ties to a flow (the money-outflow rule)</t>
        </is>
      </c>
      <c r="C74" s="8" t="inlineStr"/>
      <c r="D74" s="8" t="inlineStr"/>
      <c r="E74" s="8" t="inlineStr"/>
      <c r="F74" s="8" t="inlineStr"/>
      <c r="G74" s="8" t="inlineStr"/>
      <c r="H74" s="8" t="inlineStr"/>
      <c r="I74" s="8" t="inlineStr"/>
      <c r="J74" s="8" t="inlineStr"/>
      <c r="K74" s="8" t="inlineStr"/>
    </row>
    <row r="75">
      <c r="B75" s="9" t="inlineStr">
        <is>
          <t>P&amp;L outflow</t>
        </is>
      </c>
      <c r="C75" s="9" t="inlineStr">
        <is>
          <t>Carried by flow</t>
        </is>
      </c>
      <c r="D75" s="9" t="inlineStr">
        <is>
          <t>Status</t>
        </is>
      </c>
    </row>
    <row r="76">
      <c r="B76" s="4" t="inlineStr">
        <is>
          <t>Deposit interest paid</t>
        </is>
      </c>
      <c r="C76" s="4" t="inlineStr">
        <is>
          <t>SV-PP2</t>
        </is>
      </c>
      <c r="D76" s="10" t="inlineStr">
        <is>
          <t>✓</t>
        </is>
      </c>
    </row>
    <row r="77">
      <c r="B77" s="4" t="inlineStr">
        <is>
          <t>Wholesale funding cost (incl. interest to BoE/markets)</t>
        </is>
      </c>
      <c r="C77" s="4" t="inlineStr">
        <is>
          <t>PartP1 — Bank of England</t>
        </is>
      </c>
      <c r="D77" s="10" t="inlineStr">
        <is>
          <t>✓</t>
        </is>
      </c>
    </row>
    <row r="78">
      <c r="B78" s="4" t="inlineStr">
        <is>
          <t>Staff salaries &amp; benefits (front line + HQ)</t>
        </is>
      </c>
      <c r="C78" s="4" t="inlineStr">
        <is>
          <t>PartP3 — Employees</t>
        </is>
      </c>
      <c r="D78" s="10" t="inlineStr">
        <is>
          <t>✓ (added)</t>
        </is>
      </c>
    </row>
    <row r="79">
      <c r="B79" s="4" t="inlineStr">
        <is>
          <t>Premises · depreciation · other · tech &amp; vendor payments</t>
        </is>
      </c>
      <c r="C79" s="4" t="inlineStr">
        <is>
          <t>PartP4 — Suppliers &amp; vendors</t>
        </is>
      </c>
      <c r="D79" s="10" t="inlineStr">
        <is>
          <t>✓ (added)</t>
        </is>
      </c>
    </row>
    <row r="80">
      <c r="B80" s="4" t="inlineStr">
        <is>
          <t>Fraud &amp; APP reimbursement to customers</t>
        </is>
      </c>
      <c r="C80" s="4" t="inlineStr">
        <is>
          <t>S4 outflow (fraud resolution)</t>
        </is>
      </c>
      <c r="D80" s="10" t="inlineStr">
        <is>
          <t>✓</t>
        </is>
      </c>
    </row>
    <row r="81">
      <c r="B81" s="4" t="inlineStr">
        <is>
          <t>FSCS levy</t>
        </is>
      </c>
      <c r="C81" s="4" t="inlineStr">
        <is>
          <t>PartP1 — FSCS</t>
        </is>
      </c>
      <c r="D81" s="10" t="inlineStr">
        <is>
          <t>✓</t>
        </is>
      </c>
    </row>
    <row r="82">
      <c r="B82" s="4" t="inlineStr">
        <is>
          <t>Tax (corporation tax + surcharge)</t>
        </is>
      </c>
      <c r="C82" s="4" t="inlineStr">
        <is>
          <t>PartP1 — HMRC</t>
        </is>
      </c>
      <c r="D82" s="10" t="inlineStr">
        <is>
          <t>✓</t>
        </is>
      </c>
    </row>
    <row r="83">
      <c r="B83" s="4" t="inlineStr">
        <is>
          <t>Dividends / required return on equity</t>
        </is>
      </c>
      <c r="C83" s="4" t="inlineStr">
        <is>
          <t>PartP2 — Shareholders</t>
        </is>
      </c>
      <c r="D83" s="10" t="inlineStr">
        <is>
          <t>✓ (added)</t>
        </is>
      </c>
    </row>
    <row r="84">
      <c r="B84" s="4" t="inlineStr">
        <is>
          <t>Expected credit losses</t>
        </is>
      </c>
      <c r="C84" s="4" t="inlineStr">
        <is>
          <t>non-cash provision; cash leaves at drawdown (LN-PP1), partial return via recoveries (in LN-WP workout)</t>
        </is>
      </c>
      <c r="D84" s="10" t="inlineStr">
        <is>
          <t>note</t>
        </is>
      </c>
    </row>
    <row r="86">
      <c r="B86" s="7" t="inlineStr">
        <is>
          <t>MODULE ↔ FIN-SIM BRIDGE — live roll-up of each product module's economics (pulls from tabs 2 &amp; 6)</t>
        </is>
      </c>
      <c r="C86" s="8" t="inlineStr"/>
      <c r="D86" s="8" t="inlineStr"/>
      <c r="E86" s="8" t="inlineStr"/>
      <c r="F86" s="8" t="inlineStr"/>
      <c r="G86" s="8" t="inlineStr"/>
      <c r="H86" s="8" t="inlineStr"/>
      <c r="I86" s="8" t="inlineStr"/>
      <c r="J86" s="8" t="inlineStr"/>
      <c r="K86" s="8" t="inlineStr"/>
    </row>
    <row r="87">
      <c r="B87" s="43" t="inlineStr">
        <is>
          <t>Module</t>
        </is>
      </c>
      <c r="C87" s="43" t="inlineStr">
        <is>
          <t>Product</t>
        </is>
      </c>
      <c r="D87" s="43" t="inlineStr">
        <is>
          <t>Fin-sim keys (tabs 2–6)</t>
        </is>
      </c>
      <c r="E87" s="43" t="inlineStr">
        <is>
          <t>Revenue (£/yr)</t>
        </is>
      </c>
      <c r="F87" s="43" t="inlineStr">
        <is>
          <t>Contribution (£/yr)</t>
        </is>
      </c>
      <c r="G87" s="43" t="inlineStr">
        <is>
          <t>Economic contribution (£/yr)</t>
        </is>
      </c>
    </row>
    <row r="88">
      <c r="B88" s="40" t="inlineStr">
        <is>
          <t>CA</t>
        </is>
      </c>
      <c r="C88" s="10" t="inlineStr">
        <is>
          <t>Current account</t>
        </is>
      </c>
      <c r="D88" s="51" t="inlineStr">
        <is>
          <t>bca</t>
        </is>
      </c>
      <c r="E88" s="44">
        <f>'2. Revenues'!$M$5</f>
        <v/>
      </c>
      <c r="F88" s="44">
        <f>'6. Unit Economics'!C23</f>
        <v/>
      </c>
      <c r="G88" s="44">
        <f>'6. Unit Economics'!C24</f>
        <v/>
      </c>
    </row>
    <row r="89">
      <c r="B89" s="40" t="inlineStr">
        <is>
          <t>SV</t>
        </is>
      </c>
      <c r="C89" s="10" t="inlineStr">
        <is>
          <t>Savings &amp; deposits</t>
        </is>
      </c>
      <c r="D89" s="51" t="inlineStr">
        <is>
          <t>sav + dep</t>
        </is>
      </c>
      <c r="E89" s="44">
        <f>'2. Revenues'!$M$6+'2. Revenues'!$M$7</f>
        <v/>
      </c>
      <c r="F89" s="44">
        <f>'6. Unit Economics'!D23+'6. Unit Economics'!E23</f>
        <v/>
      </c>
      <c r="G89" s="44">
        <f>'6. Unit Economics'!D24+'6. Unit Economics'!E24</f>
        <v/>
      </c>
    </row>
    <row r="90">
      <c r="B90" s="40" t="inlineStr">
        <is>
          <t>LN</t>
        </is>
      </c>
      <c r="C90" s="10" t="inlineStr">
        <is>
          <t>Lending &amp; credit</t>
        </is>
      </c>
      <c r="D90" s="51" t="inlineStr">
        <is>
          <t>od + loan + af + inv</t>
        </is>
      </c>
      <c r="E90" s="44">
        <f>'2. Revenues'!$M$8+'2. Revenues'!$M$9+'2. Revenues'!$M$10+'2. Revenues'!$M$11</f>
        <v/>
      </c>
      <c r="F90" s="44">
        <f>'6. Unit Economics'!F23+'6. Unit Economics'!G23+'6. Unit Economics'!H23+'6. Unit Economics'!I23</f>
        <v/>
      </c>
      <c r="G90" s="44">
        <f>'6. Unit Economics'!F24+'6. Unit Economics'!G24+'6. Unit Economics'!H24+'6. Unit Economics'!I24</f>
        <v/>
      </c>
    </row>
    <row r="91">
      <c r="B91" s="40" t="inlineStr">
        <is>
          <t>CC</t>
        </is>
      </c>
      <c r="C91" s="10" t="inlineStr">
        <is>
          <t>Business credit card</t>
        </is>
      </c>
      <c r="D91" s="51" t="inlineStr">
        <is>
          <t>card</t>
        </is>
      </c>
      <c r="E91" s="44">
        <f>'2. Revenues'!$M$12</f>
        <v/>
      </c>
      <c r="F91" s="44">
        <f>'6. Unit Economics'!J23</f>
        <v/>
      </c>
      <c r="G91" s="44">
        <f>'6. Unit Economics'!J24</f>
        <v/>
      </c>
    </row>
    <row r="92">
      <c r="B92" s="40" t="inlineStr">
        <is>
          <t>PX</t>
        </is>
      </c>
      <c r="C92" s="10" t="inlineStr">
        <is>
          <t>Payments &amp; FX</t>
        </is>
      </c>
      <c r="D92" s="51" t="inlineStr">
        <is>
          <t>fx</t>
        </is>
      </c>
      <c r="E92" s="44">
        <f>'2. Revenues'!$M$13</f>
        <v/>
      </c>
      <c r="F92" s="44">
        <f>'6. Unit Economics'!K23</f>
        <v/>
      </c>
      <c r="G92" s="44">
        <f>'6. Unit Economics'!K24</f>
        <v/>
      </c>
    </row>
    <row r="93">
      <c r="B93" s="49" t="inlineStr">
        <is>
          <t>TOTAL</t>
        </is>
      </c>
      <c r="E93" s="45">
        <f>SUM(E88:E92)</f>
        <v/>
      </c>
      <c r="F93" s="45">
        <f>SUM(F88:F92)</f>
        <v/>
      </c>
      <c r="G93" s="45">
        <f>SUM(G88:G92)</f>
        <v/>
      </c>
    </row>
    <row r="94">
      <c r="B94" s="5" t="inlineStr">
        <is>
          <t>The traceability chain: CTM state change → module WP (this tab) → activities tagged with the flow ID (tab 3, 'Flow' column) → FTEs &amp; costs (tabs 3–4) → per-product economics (tab 6) → module roll-up above. One ID system end to end.</t>
        </is>
      </c>
    </row>
    <row r="96">
      <c r="B96" s="7" t="inlineStr">
        <is>
          <t>BIAN COMPLETENESS CHECKLIST — cross-cutting capabilities that move the flows</t>
        </is>
      </c>
      <c r="C96" s="8" t="inlineStr"/>
      <c r="D96" s="8" t="inlineStr"/>
      <c r="E96" s="8" t="inlineStr"/>
      <c r="F96" s="8" t="inlineStr"/>
      <c r="G96" s="8" t="inlineStr"/>
      <c r="H96" s="8" t="inlineStr"/>
      <c r="I96" s="8" t="inlineStr"/>
      <c r="J96" s="8" t="inlineStr"/>
      <c r="K96" s="8" t="inlineStr"/>
    </row>
    <row r="97">
      <c r="B97" s="9" t="inlineStr">
        <is>
          <t>Capability</t>
        </is>
      </c>
      <c r="C97" s="9" t="inlineStr">
        <is>
          <t>BIAN business area</t>
        </is>
      </c>
      <c r="D97" s="9" t="inlineStr">
        <is>
          <t>4-D classification</t>
        </is>
      </c>
      <c r="E97" s="9" t="inlineStr">
        <is>
          <t>Captured where</t>
        </is>
      </c>
      <c r="F97" s="9" t="inlineStr">
        <is>
          <t>Status</t>
        </is>
      </c>
    </row>
    <row r="98">
      <c r="B98" s="4" t="inlineStr">
        <is>
          <t>Party reference data</t>
        </is>
      </c>
      <c r="C98" s="10" t="inlineStr">
        <is>
          <t>Reference Data</t>
        </is>
      </c>
      <c r="D98" s="10" t="inlineStr">
        <is>
          <t>Back-office activity</t>
        </is>
      </c>
      <c r="E98" s="10" t="inlineStr">
        <is>
          <t>HQ capability + CA-WP</t>
        </is>
      </c>
      <c r="F98" s="10" t="inlineStr">
        <is>
          <t>Captured</t>
        </is>
      </c>
    </row>
    <row r="99">
      <c r="B99" s="4" t="inlineStr">
        <is>
          <t>Product directory &amp; pricing</t>
        </is>
      </c>
      <c r="C99" s="10" t="inlineStr">
        <is>
          <t>Reference Data</t>
        </is>
      </c>
      <c r="D99" s="10" t="inlineStr">
        <is>
          <t>Back-office activity</t>
        </is>
      </c>
      <c r="E99" s="10" t="inlineStr">
        <is>
          <t>HQ capability</t>
        </is>
      </c>
      <c r="F99" s="10" t="inlineStr">
        <is>
          <t>Captured</t>
        </is>
      </c>
    </row>
    <row r="100">
      <c r="B100" s="4" t="inlineStr">
        <is>
          <t>Customer access entitlement / authentication</t>
        </is>
      </c>
      <c r="C100" s="10" t="inlineStr">
        <is>
          <t>Sales &amp; Service</t>
        </is>
      </c>
      <c r="D100" s="10" t="inlineStr">
        <is>
          <t>Enabling product</t>
        </is>
      </c>
      <c r="E100" s="10" t="inlineStr">
        <is>
          <t>E4</t>
        </is>
      </c>
      <c r="F100" s="10" t="inlineStr">
        <is>
          <t>Captured (new)</t>
        </is>
      </c>
    </row>
    <row r="101">
      <c r="B101" s="4" t="inlineStr">
        <is>
          <t>Financial message gateway (Open Banking / API)</t>
        </is>
      </c>
      <c r="C101" s="10" t="inlineStr">
        <is>
          <t>Operations &amp; Execution</t>
        </is>
      </c>
      <c r="D101" s="10" t="inlineStr">
        <is>
          <t>Enabling product</t>
        </is>
      </c>
      <c r="E101" s="10" t="inlineStr">
        <is>
          <t>E3</t>
        </is>
      </c>
      <c r="F101" s="10" t="inlineStr">
        <is>
          <t>Captured (new)</t>
        </is>
      </c>
    </row>
    <row r="102">
      <c r="B102" s="4" t="inlineStr">
        <is>
          <t>Reconciliation</t>
        </is>
      </c>
      <c r="C102" s="10" t="inlineStr">
        <is>
          <t>Operations &amp; Execution</t>
        </is>
      </c>
      <c r="D102" s="10" t="inlineStr">
        <is>
          <t>Money-flow capability</t>
        </is>
      </c>
      <c r="E102" s="10" t="inlineStr">
        <is>
          <t>*-PP flows + HQ</t>
        </is>
      </c>
      <c r="F102" s="10" t="inlineStr">
        <is>
          <t>Captured</t>
        </is>
      </c>
    </row>
    <row r="103">
      <c r="B103" s="4" t="inlineStr">
        <is>
          <t>Position keeping (nostro / vostro)</t>
        </is>
      </c>
      <c r="C103" s="10" t="inlineStr">
        <is>
          <t>Operations &amp; Execution</t>
        </is>
      </c>
      <c r="D103" s="10" t="inlineStr">
        <is>
          <t>Money-flow capability</t>
        </is>
      </c>
      <c r="E103" s="10" t="inlineStr">
        <is>
          <t>SV/LN PP flows + HQ</t>
        </is>
      </c>
      <c r="F103" s="10" t="inlineStr">
        <is>
          <t>Captured</t>
        </is>
      </c>
    </row>
    <row r="104">
      <c r="B104" s="4" t="inlineStr">
        <is>
          <t>Regulatory compliance &amp; reporting</t>
        </is>
      </c>
      <c r="C104" s="10" t="inlineStr">
        <is>
          <t>Risk &amp; Compliance</t>
        </is>
      </c>
      <c r="D104" s="10" t="inlineStr">
        <is>
          <t>Back-office activity</t>
        </is>
      </c>
      <c r="E104" s="10" t="inlineStr">
        <is>
          <t>HQ + FSCS rail</t>
        </is>
      </c>
      <c r="F104" s="10" t="inlineStr">
        <is>
          <t>Captured</t>
        </is>
      </c>
    </row>
    <row r="105">
      <c r="B105" s="4" t="inlineStr">
        <is>
          <t>Sanctions screening / CDD</t>
        </is>
      </c>
      <c r="C105" s="10" t="inlineStr">
        <is>
          <t>Risk &amp; Compliance</t>
        </is>
      </c>
      <c r="D105" s="10" t="inlineStr">
        <is>
          <t>Back-office activity</t>
        </is>
      </c>
      <c r="E105" s="10" t="inlineStr">
        <is>
          <t>HQ (within fraud/AML)</t>
        </is>
      </c>
      <c r="F105" s="10" t="inlineStr">
        <is>
          <t>Captured</t>
        </is>
      </c>
    </row>
    <row r="106">
      <c r="B106" s="4" t="inlineStr">
        <is>
          <t>Collections &amp; recovery</t>
        </is>
      </c>
      <c r="C106" s="10" t="inlineStr">
        <is>
          <t>Operations &amp; Execution</t>
        </is>
      </c>
      <c r="D106" s="10" t="inlineStr">
        <is>
          <t>Back-office activity</t>
        </is>
      </c>
      <c r="E106" s="10" t="inlineStr">
        <is>
          <t>HQ + LN-WP</t>
        </is>
      </c>
      <c r="F106" s="10" t="inlineStr">
        <is>
          <t>Captured</t>
        </is>
      </c>
    </row>
    <row r="107">
      <c r="B107" s="4" t="inlineStr">
        <is>
          <t>Collateral administration</t>
        </is>
      </c>
      <c r="C107" s="10" t="inlineStr">
        <is>
          <t>Operations &amp; Execution</t>
        </is>
      </c>
      <c r="D107" s="10" t="inlineStr">
        <is>
          <t>Back-office activity</t>
        </is>
      </c>
      <c r="E107" s="10" t="inlineStr">
        <is>
          <t>HQ + LN-WP</t>
        </is>
      </c>
      <c r="F107" s="10" t="inlineStr">
        <is>
          <t>Captured</t>
        </is>
      </c>
    </row>
    <row r="108">
      <c r="B108" s="4" t="inlineStr">
        <is>
          <t>Fraud resolution</t>
        </is>
      </c>
      <c r="C108" s="10" t="inlineStr">
        <is>
          <t>Operations &amp; Execution</t>
        </is>
      </c>
      <c r="D108" s="10" t="inlineStr">
        <is>
          <t>Support product</t>
        </is>
      </c>
      <c r="E108" s="10" t="inlineStr">
        <is>
          <t>S4</t>
        </is>
      </c>
      <c r="F108" s="10" t="inlineStr">
        <is>
          <t>Captured</t>
        </is>
      </c>
    </row>
    <row r="109">
      <c r="B109" s="4" t="inlineStr">
        <is>
          <t>Correspondence / notifications</t>
        </is>
      </c>
      <c r="C109" s="10" t="inlineStr">
        <is>
          <t>Sales &amp; Service</t>
        </is>
      </c>
      <c r="D109" s="10" t="inlineStr">
        <is>
          <t>Support product</t>
        </is>
      </c>
      <c r="E109" s="10" t="inlineStr">
        <is>
          <t>S1–S2</t>
        </is>
      </c>
      <c r="F109" s="10" t="inlineStr">
        <is>
          <t>Captured</t>
        </is>
      </c>
    </row>
    <row r="110">
      <c r="B110" s="4" t="inlineStr">
        <is>
          <t>Document &amp; contract management</t>
        </is>
      </c>
      <c r="C110" s="10" t="inlineStr">
        <is>
          <t>Business Support</t>
        </is>
      </c>
      <c r="D110" s="10" t="inlineStr">
        <is>
          <t>Enabling product</t>
        </is>
      </c>
      <c r="E110" s="10" t="inlineStr">
        <is>
          <t>E5</t>
        </is>
      </c>
      <c r="F110" s="10" t="inlineStr">
        <is>
          <t>Captured</t>
        </is>
      </c>
    </row>
    <row r="111">
      <c r="B111" s="4" t="inlineStr">
        <is>
          <t>Card scheme &amp; merchant relations</t>
        </is>
      </c>
      <c r="C111" s="10" t="inlineStr">
        <is>
          <t>Operations &amp; Execution</t>
        </is>
      </c>
      <c r="D111" s="10" t="inlineStr">
        <is>
          <t>Back-office activity</t>
        </is>
      </c>
      <c r="E111" s="10" t="inlineStr">
        <is>
          <t>CC module</t>
        </is>
      </c>
      <c r="F111" s="10" t="inlineStr">
        <is>
          <t>Captured</t>
        </is>
      </c>
    </row>
    <row r="112">
      <c r="B112" s="4" t="inlineStr">
        <is>
          <t>Corporate treasury / ALM</t>
        </is>
      </c>
      <c r="C112" s="10" t="inlineStr">
        <is>
          <t>Risk &amp; Compliance</t>
        </is>
      </c>
      <c r="D112" s="10" t="inlineStr">
        <is>
          <t>Money-flow capability</t>
        </is>
      </c>
      <c r="E112" s="10" t="inlineStr">
        <is>
          <t>HQ + PP flows + PartP1</t>
        </is>
      </c>
      <c r="F112" s="10" t="inlineStr">
        <is>
          <t>Captured</t>
        </is>
      </c>
    </row>
    <row r="113">
      <c r="B113" s="4" t="inlineStr">
        <is>
          <t>Operational risk</t>
        </is>
      </c>
      <c r="C113" s="10" t="inlineStr">
        <is>
          <t>Risk &amp; Compliance</t>
        </is>
      </c>
      <c r="D113" s="10" t="inlineStr">
        <is>
          <t>Back-office activity</t>
        </is>
      </c>
      <c r="E113" s="10" t="inlineStr">
        <is>
          <t>HQ capability</t>
        </is>
      </c>
      <c r="F113" s="10" t="inlineStr">
        <is>
          <t>Captured</t>
        </is>
      </c>
    </row>
    <row r="114">
      <c r="B114" s="4" t="inlineStr">
        <is>
          <t>Finance / general ledger</t>
        </is>
      </c>
      <c r="C114" s="10" t="inlineStr">
        <is>
          <t>Business Support</t>
        </is>
      </c>
      <c r="D114" s="10" t="inlineStr">
        <is>
          <t>Money-flow capability</t>
        </is>
      </c>
      <c r="E114" s="10" t="inlineStr">
        <is>
          <t>HQ capability</t>
        </is>
      </c>
      <c r="F114" s="10" t="inlineStr">
        <is>
          <t>Captured</t>
        </is>
      </c>
    </row>
    <row r="116">
      <c r="B116" s="5" t="inlineStr">
        <is>
          <t>Out of scope by design (BIAN domains not built): wholesale markets · trading · wealth / investment management · trade finance · corporate finance / capital markets · retail-only consumer products. Treasury kept minimal — liquidity / ALM + correspondent banking only.</t>
        </is>
      </c>
    </row>
    <row r="117"/>
    <row r="119">
      <c r="B119" s="51" t="inlineStr">
        <is>
          <t>Source: BIAN Service Landscape v9.1 (bian.org). Confirm any service-domain name against the v9.1 matrix before external use — BIAN renames domains between versions.</t>
        </is>
      </c>
    </row>
  </sheetData>
  <mergeCells count="3">
    <mergeCell ref="B94:K94"/>
    <mergeCell ref="B72:K72"/>
    <mergeCell ref="B116:K1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2026-08-21T07:55:56Z</dcterms:created>
  <dcterms:modified xmlns:dcterms="http://purl.org/dc/terms/" xmlns:xsi="http://www.w3.org/2001/XMLSchema-instance" xsi:type="dcterms:W3CDTF">2026-08-21T07:55:56Z</dcterms:modified>
</cp:coreProperties>
</file>