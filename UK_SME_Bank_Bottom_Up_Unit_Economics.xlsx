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
    <numFmt numFmtId="166" formatCode="#,##0.0"/>
    <numFmt numFmtId="167" formatCode="£#,##0.00"/>
    <numFmt numFmtId="168" formatCode="0.00000"/>
    <numFmt numFmtId="169" formatCode="+0.00;-0.00;0.00"/>
    <numFmt numFmtId="170"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3">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9"/>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v1.8 · 22 August 2026 — check github.com/tmth-studio/sme-bank-models for the latest; the version history below tells you what changed since your download.</t>
        </is>
      </c>
    </row>
    <row r="4">
      <c r="B4" s="3" t="inlineStr">
        <is>
          <t>Version history</t>
        </is>
      </c>
    </row>
    <row r="5" ht="52" customHeight="1">
      <c r="B5" s="4" t="inlineStr">
        <is>
          <t>• v1.8 (22 Aug 2026) — break-even demand elasticity on tab 10. The elasticity table ranked the term loan customer rate as the largest driver of profit at +1.25, which was an artefact: nothing in the model responds to price, so raising any price always looked accretive. Tab 10 now leads with the demand elasticity at which raising each price stops paying. The reordering matters — the card fee breaks even at 0.06 and the current-account fee at 0.13, so both are fragile to almost any customer response, while the loan rate holds to 2.91. The hidden assumption being replaced is zero, which is the least defensible value available.</t>
        </is>
      </c>
    </row>
    <row r="6" ht="52" customHeight="1">
      <c r="B6" s="4" t="inlineStr">
        <is>
          <t>• v1.7 (22 Aug 2026) — operational leverage. Every cost line in the model scaled linearly with its driver, which forces a cost elasticity of exactly 1.0 and makes cost per customer flat at every scale. Allica Bank's own accounts put that elasticity at 0.808 across 2022-23 and 0.622 across 2023-24 — cost rises materially more slowly than the book. Inputs section O adds a cost scale elasticity and the customer count the per-customer rates are calibrated at; the head-office pools, the platform line and change-the-bank now scale by it. Default 1.0 reproduces v1.6 exactly. Tab 11 adds the out-of-sample test that measured it.</t>
        </is>
      </c>
    </row>
    <row r="7" ht="52" customHeight="1">
      <c r="B7"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8" ht="52" customHeight="1">
      <c r="B8"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9" ht="52" customHeight="1">
      <c r="B9"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10" ht="40" customHeight="1">
      <c r="B10"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11" ht="28" customHeight="1">
      <c r="B11" s="4" t="inlineStr">
        <is>
          <t>• v1.2.1 (21 Aug 2026) — documentation only: added 'What period this models' to this Guide (steady-state annual snapshot, stationary book, churn replacement costed, transitions out of scope). No formula or input changes — results identical to v1.2.</t>
        </is>
      </c>
    </row>
    <row r="12" ht="28" customHeight="1">
      <c r="B12"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3" ht="28" customHeight="1">
      <c r="B13"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4" ht="28" customHeight="1">
      <c r="B14" s="4" t="inlineStr">
        <is>
          <t>• v1.0 (10 Aug 2026) — first published version: 9 tabs + flow register, FTP with liquidity/behavioural terms, fraud/FSCS/change-the-bank lines, segment-pod LMUs, bridge check.</t>
        </is>
      </c>
    </row>
    <row r="16">
      <c r="B16" s="3" t="inlineStr">
        <is>
          <t>What this is</t>
        </is>
      </c>
    </row>
    <row r="17" ht="39" customHeight="1">
      <c r="B17"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18" ht="39" customHeight="1">
      <c r="B18"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20">
      <c r="B20" s="3" t="inlineStr">
        <is>
          <t>What period this models</t>
        </is>
      </c>
    </row>
    <row r="21" ht="26" customHeight="1">
      <c r="B21" s="4" t="inlineStr">
        <is>
          <t>• One representative operating year at steady state. Balances are annual averages; rates and volumes are annual. There is no time axis, no ramp and no vintage cohorts — the model is a snapshot, not a forecast.</t>
        </is>
      </c>
    </row>
    <row r="22" ht="78" customHeight="1">
      <c r="B22"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3" ht="26" customHeight="1">
      <c r="B23" s="4" t="inlineStr">
        <is>
          <t>• The capital charge (cost of equity on allocated capital) is the incumbent analogue of Simanis's start-up-cost amortisation: capital earns its required return inside the steady-state P&amp;L.</t>
        </is>
      </c>
    </row>
    <row r="24" ht="52" customHeight="1">
      <c r="B24"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26">
      <c r="B26" s="3" t="inlineStr">
        <is>
          <t>How the tabs map to the methodology</t>
        </is>
      </c>
    </row>
    <row r="27" ht="24" customHeight="1">
      <c r="B27" s="4" t="inlineStr">
        <is>
          <t>• Inputs — every assumption in one place, with sources. Edit blue cells; yellow cells are the biggest levers.</t>
        </is>
      </c>
    </row>
    <row r="28" ht="26" customHeight="1">
      <c r="B28" s="4" t="inlineStr">
        <is>
          <t>• 1. Customers — Step 1: bound the operating unit. Reachable market (R) × penetration (P) → customers → product volumes and balances.</t>
        </is>
      </c>
    </row>
    <row r="29" ht="26" customHeight="1">
      <c r="B29" s="4" t="inlineStr">
        <is>
          <t>• 2. Revenues — unit revenue per product: interest margins measured against internal funds transfer prices (Bank Rate for floating, + premium for term), plus fees.</t>
        </is>
      </c>
    </row>
    <row r="30" ht="39" customHeight="1">
      <c r="B30" s="4" t="inlineStr">
        <is>
          <t>• 3. HR &amp; Activity — Step 2: every FTE derived from activity drivers (hours per onboarding, review, renewal…) — nothing is assumed as headcount. From v1.5 this tab is also the PROCESS REGISTER (columns M-T), with the head-office process register below it.</t>
        </is>
      </c>
    </row>
    <row r="31" ht="26" customHeight="1">
      <c r="B31" s="4" t="inlineStr">
        <is>
          <t>• 1b. Demand &amp; CEPs — the demand layer (v1.4). Penetration is derived, not assumed. Mode cell on Inputs section L: OFF reproduces v1.3, CALIBRATE reports the implied event rates, LIVE derives.</t>
        </is>
      </c>
    </row>
    <row r="32" ht="39" customHeight="1">
      <c r="B32"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33" ht="52" customHeight="1">
      <c r="B33"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34" ht="26" customHeight="1">
      <c r="B34" s="4" t="inlineStr">
        <is>
          <t>• 5. Risk &amp; Capital — Step 3: expected credit losses (PD × LGD), risk-weighted assets, allocated equity, and the required return on it.</t>
        </is>
      </c>
    </row>
    <row r="35" ht="91" customHeight="1">
      <c r="B35"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36" ht="26" customHeight="1">
      <c r="B36" s="4" t="inlineStr">
        <is>
          <t>• 7. P&amp;L — the whole-cost P&amp;L of the operating unit at steady state, key ratios vs industry benchmarks, and the Simanis cost-driver table.</t>
        </is>
      </c>
    </row>
    <row r="37" ht="26" customHeight="1">
      <c r="B37" s="4" t="inlineStr">
        <is>
          <t>• 8. Org Structure — the whole-bank organisation implied by the model: front-line FTEs from activity drivers × number of centres, head-office FTEs backed out of the per-customer head-office cost allocations.</t>
        </is>
      </c>
    </row>
    <row r="38" ht="52" customHeight="1">
      <c r="B38"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40">
      <c r="B40" s="3" t="inlineStr">
        <is>
          <t>Colour legend</t>
        </is>
      </c>
    </row>
    <row r="41" ht="26" customHeight="1">
      <c r="B41" s="4" t="inlineStr">
        <is>
          <t>• Blue = hardcoded input (edit these) · Yellow fill = key assumption / sensitivity lever · Black = formula · Green = link to another sheet.</t>
        </is>
      </c>
    </row>
    <row r="43">
      <c r="B43" s="3" t="inlineStr">
        <is>
          <t>Reading the results</t>
        </is>
      </c>
    </row>
    <row r="44" ht="52" customHeight="1">
      <c r="B44"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45" ht="39" customHeight="1">
      <c r="B45"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47">
      <c r="B47" s="3" t="inlineStr">
        <is>
          <t>Caveats</t>
        </is>
      </c>
    </row>
    <row r="48" ht="39" customHeight="1">
      <c r="B48" s="4" t="inlineStr">
        <is>
          <t>• Benchmarks are as of August 2026 (Bank Rate 3.75%; BoE effective new SME loan rate ~6.3%; commercial interchange 1.65–1.90%; invoice finance discount base+1–3%). Items marked 'Assumption' are illustrative and should be replaced with your own data.</t>
        </is>
      </c>
    </row>
    <row r="49" ht="65" customHeight="1">
      <c r="B49"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9"/>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(Barclays/Lloyds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17" t="n">
        <v>0.03</v>
      </c>
      <c r="D45" s="18" t="n">
        <v>0.03</v>
      </c>
      <c r="E45" s="18" t="n">
        <v>0.03</v>
      </c>
      <c r="F45" s="19">
        <f>CHOOSE('Inputs'!$C$4,D45,C45,E45)</f>
        <v/>
      </c>
      <c r="G45" s="14" t="inlineStr">
        <is>
          <t>%</t>
        </is>
      </c>
      <c r="H45" s="5" t="inlineStr">
        <is>
          <t>Assumption</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Barclays standard business tariff from £8.50/mo post free period; NatWest £5–10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O. COST SCALE ELASTICITY (operational leverage, v1.7)</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Cost scale elasticity — d ln(cost) / d ln(customers)</t>
        </is>
      </c>
      <c r="C181" s="39" t="n">
        <v>1</v>
      </c>
      <c r="D181" s="36" t="n">
        <v>1</v>
      </c>
      <c r="E181" s="36" t="n">
        <v>1</v>
      </c>
      <c r="F181" s="37">
        <f>CHOOSE('Inputs'!$C$4,D181,C181,E181)</f>
        <v/>
      </c>
      <c r="G181" s="14" t="inlineStr">
        <is>
          <t>index</t>
        </is>
      </c>
      <c r="H181" s="5" t="inlineStr">
        <is>
          <t>Every cost line in this model scales linearly with its driver, which forces an elasticity of exactly 1.0 and makes cost per customer flat at every scale. No real business behaves that way. Measured on Allica Bank's published accounts against its lending book: 0.808 across 2022-23, then 0.622 across 2023-24. Applies to the head-office pools, the platform line and change-the-bank — the lines with the least customer-specific content. Default 1.0 reproduces v1.6 exactly.</t>
        </is>
      </c>
    </row>
    <row r="182">
      <c r="B182" s="10" t="inlineStr">
        <is>
          <t>Customer count at which the per-customer rates are calibrated</t>
        </is>
      </c>
      <c r="C182" s="20" t="n">
        <v>3000</v>
      </c>
      <c r="D182" s="21" t="n">
        <v>3000</v>
      </c>
      <c r="E182" s="21" t="n">
        <v>3000</v>
      </c>
      <c r="F182" s="22">
        <f>CHOOSE('Inputs'!$C$4,D182,C182,E182)</f>
        <v/>
      </c>
      <c r="G182" s="14" t="inlineStr">
        <is>
          <t>customers</t>
        </is>
      </c>
      <c r="H182" s="5" t="inlineStr">
        <is>
          <t>The elasticity pivots around this point: at this customer count the elastic form and the linear form are identical by construction. Set it to the book size the per-customer rates were derived from.</t>
        </is>
      </c>
    </row>
    <row r="183">
      <c r="B183" s="7" t="inlineStr">
        <is>
          <t>N. HEAD-OFFICE FIXED COST (scale generalisation, v1.6)</t>
        </is>
      </c>
      <c r="C183" s="8" t="inlineStr"/>
      <c r="D183" s="8" t="inlineStr"/>
      <c r="E183" s="8" t="inlineStr"/>
    </row>
    <row r="184">
      <c r="B184" s="9" t="inlineStr">
        <is>
          <t>Item</t>
        </is>
      </c>
      <c r="C184" s="9" t="inlineStr">
        <is>
          <t>Central</t>
        </is>
      </c>
      <c r="D184" s="9" t="inlineStr">
        <is>
          <t>Pessimistic</t>
        </is>
      </c>
      <c r="E184" s="9" t="inlineStr">
        <is>
          <t>Optimistic</t>
        </is>
      </c>
      <c r="F184" s="9" t="inlineStr">
        <is>
          <t>ACTIVE</t>
        </is>
      </c>
      <c r="G184" s="9" t="inlineStr">
        <is>
          <t>Unit</t>
        </is>
      </c>
      <c r="H184" s="40" t="inlineStr"/>
    </row>
    <row r="185">
      <c r="B185" s="10" t="inlineStr">
        <is>
          <t>Technology &amp; central operations — fixed component</t>
        </is>
      </c>
      <c r="C185" s="27" t="n">
        <v>0</v>
      </c>
      <c r="D185" s="28" t="n">
        <v>0</v>
      </c>
      <c r="E185" s="28" t="n">
        <v>0</v>
      </c>
      <c r="F185" s="26">
        <f>CHOOSE('Inputs'!$C$4,D185,C185,E185)</f>
        <v/>
      </c>
      <c r="G185" s="14" t="inlineStr">
        <is>
          <t>£/yr</t>
        </is>
      </c>
      <c r="H185"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6">
      <c r="B186" s="10" t="inlineStr">
        <is>
          <t>Risk, compliance &amp; audit — fixed component</t>
        </is>
      </c>
      <c r="C186" s="27" t="n">
        <v>0</v>
      </c>
      <c r="D186" s="28" t="n">
        <v>0</v>
      </c>
      <c r="E186" s="28" t="n">
        <v>0</v>
      </c>
      <c r="F186" s="26">
        <f>CHOOSE('Inputs'!$C$4,D186,C186,E186)</f>
        <v/>
      </c>
      <c r="G186" s="14" t="inlineStr">
        <is>
          <t>£/yr</t>
        </is>
      </c>
      <c r="H186" s="5" t="inlineStr">
        <is>
          <t>As above. Regulatory and compliance cost has a large irreducible floor that does not scale down with customers.</t>
        </is>
      </c>
    </row>
    <row r="187">
      <c r="B187" s="10" t="inlineStr">
        <is>
          <t>Corporate centre — fixed component</t>
        </is>
      </c>
      <c r="C187" s="27" t="n">
        <v>0</v>
      </c>
      <c r="D187" s="28" t="n">
        <v>0</v>
      </c>
      <c r="E187" s="28" t="n">
        <v>0</v>
      </c>
      <c r="F187" s="26">
        <f>CHOOSE('Inputs'!$C$4,D187,C187,E187)</f>
        <v/>
      </c>
      <c r="G187" s="14" t="inlineStr">
        <is>
          <t>£/yr</t>
        </is>
      </c>
      <c r="H187" s="5" t="inlineStr">
        <is>
          <t>As above. Platform build, brand and executive cost are the least customer-driven lines in the model.</t>
        </is>
      </c>
    </row>
    <row r="188">
      <c r="B188" s="7" t="inlineStr">
        <is>
          <t>L. CATEGORY ENTRY POINTS (demand layer, v1.3)</t>
        </is>
      </c>
      <c r="C188" s="8" t="inlineStr"/>
      <c r="D188" s="8" t="inlineStr"/>
      <c r="E188" s="8" t="inlineStr"/>
    </row>
    <row r="189">
      <c r="B189" s="9" t="inlineStr">
        <is>
          <t>Item</t>
        </is>
      </c>
      <c r="C189" s="9" t="inlineStr">
        <is>
          <t>Central</t>
        </is>
      </c>
      <c r="D189" s="9" t="inlineStr">
        <is>
          <t>Pessimistic</t>
        </is>
      </c>
      <c r="E189" s="9" t="inlineStr">
        <is>
          <t>Optimistic</t>
        </is>
      </c>
      <c r="F189" s="9" t="inlineStr">
        <is>
          <t>ACTIVE</t>
        </is>
      </c>
      <c r="G189" s="9" t="inlineStr">
        <is>
          <t>Unit</t>
        </is>
      </c>
      <c r="H189" s="9" t="inlineStr">
        <is>
          <t>Source / note</t>
        </is>
      </c>
    </row>
    <row r="190">
      <c r="B190" s="10" t="inlineStr">
        <is>
          <t>CEP layer mode (OFF · CALIBRATE · LIVE)</t>
        </is>
      </c>
      <c r="C190" s="41" t="inlineStr">
        <is>
          <t>OFF</t>
        </is>
      </c>
      <c r="D190" s="14" t="inlineStr">
        <is>
          <t>OFF</t>
        </is>
      </c>
      <c r="E190" s="14" t="inlineStr">
        <is>
          <t>OFF</t>
        </is>
      </c>
      <c r="F190" s="42">
        <f>CHOOSE('Inputs'!$C$4,D190,C190,E190)</f>
        <v/>
      </c>
      <c r="G190" s="14" t="inlineStr">
        <is>
          <t>mode</t>
        </is>
      </c>
      <c r="H190"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91">
      <c r="B191" s="10" t="inlineStr">
        <is>
          <t>Instant savings — average holding life</t>
        </is>
      </c>
      <c r="C191" s="29" t="n">
        <v>0</v>
      </c>
      <c r="D191" s="30" t="n">
        <v>0</v>
      </c>
      <c r="E191" s="30" t="n">
        <v>0</v>
      </c>
      <c r="F191" s="31">
        <f>CHOOSE('Inputs'!$C$4,D191,C191,E191)</f>
        <v/>
      </c>
      <c r="G191" s="14" t="inlineStr">
        <is>
          <t>years</t>
        </is>
      </c>
      <c r="H191" s="5" t="inlineStr">
        <is>
          <t>REQUIRED FOR LIVE MODE — leave 0 and this product falls back to its hardcoded penetration. Cohort query: mean tenure from account-open to account-close on the savings book.</t>
        </is>
      </c>
    </row>
    <row r="192">
      <c r="B192" s="10" t="inlineStr">
        <is>
          <t>Notice &amp; fixed — average holding life</t>
        </is>
      </c>
      <c r="C192" s="29" t="n">
        <v>0</v>
      </c>
      <c r="D192" s="30" t="n">
        <v>0</v>
      </c>
      <c r="E192" s="30" t="n">
        <v>0</v>
      </c>
      <c r="F192" s="31">
        <f>CHOOSE('Inputs'!$C$4,D192,C192,E192)</f>
        <v/>
      </c>
      <c r="G192" s="14" t="inlineStr">
        <is>
          <t>years</t>
        </is>
      </c>
      <c r="H192" s="5" t="inlineStr">
        <is>
          <t>REQUIRED FOR LIVE MODE. Cohort query: mean tenure including rollovers; a rolled deposit is one holding, not two.</t>
        </is>
      </c>
    </row>
    <row r="193">
      <c r="B193" s="10" t="inlineStr">
        <is>
          <t>Overdraft — average facility life</t>
        </is>
      </c>
      <c r="C193" s="29" t="n">
        <v>0</v>
      </c>
      <c r="D193" s="30" t="n">
        <v>0</v>
      </c>
      <c r="E193" s="30" t="n">
        <v>0</v>
      </c>
      <c r="F193" s="31">
        <f>CHOOSE('Inputs'!$C$4,D193,C193,E193)</f>
        <v/>
      </c>
      <c r="G193" s="14" t="inlineStr">
        <is>
          <t>years</t>
        </is>
      </c>
      <c r="H193" s="5" t="inlineStr">
        <is>
          <t>REQUIRED FOR LIVE MODE. Cohort query: mean time from facility grant to facility closed (not annual renewal).</t>
        </is>
      </c>
    </row>
    <row r="194">
      <c r="B194" s="10" t="inlineStr">
        <is>
          <t>Business credit card — average holding life</t>
        </is>
      </c>
      <c r="C194" s="29" t="n">
        <v>0</v>
      </c>
      <c r="D194" s="30" t="n">
        <v>0</v>
      </c>
      <c r="E194" s="30" t="n">
        <v>0</v>
      </c>
      <c r="F194" s="31">
        <f>CHOOSE('Inputs'!$C$4,D194,C194,E194)</f>
        <v/>
      </c>
      <c r="G194" s="14" t="inlineStr">
        <is>
          <t>years</t>
        </is>
      </c>
      <c r="H194" s="5" t="inlineStr">
        <is>
          <t>REQUIRED FOR LIVE MODE. Cohort query: mean tenure from card issued to account closed.</t>
        </is>
      </c>
    </row>
    <row r="195">
      <c r="B195" s="10" t="inlineStr">
        <is>
          <t>Payments &amp; FX — average active-user life</t>
        </is>
      </c>
      <c r="C195" s="29" t="n">
        <v>0</v>
      </c>
      <c r="D195" s="30" t="n">
        <v>0</v>
      </c>
      <c r="E195" s="30" t="n">
        <v>0</v>
      </c>
      <c r="F195" s="31">
        <f>CHOOSE('Inputs'!$C$4,D195,C195,E195)</f>
        <v/>
      </c>
      <c r="G195" s="14" t="inlineStr">
        <is>
          <t>years</t>
        </is>
      </c>
      <c r="H195" s="5" t="inlineStr">
        <is>
          <t>REQUIRED FOR LIVE MODE. Cohort query: mean time from first international payment to 12 months' inactivity.</t>
        </is>
      </c>
    </row>
    <row r="196">
      <c r="B196" s="7" t="inlineStr">
        <is>
          <t>M. PROCESS LAYER (Step 2 performance, v1.4)</t>
        </is>
      </c>
      <c r="C196" s="8" t="inlineStr"/>
      <c r="D196" s="8" t="inlineStr"/>
      <c r="E196" s="8" t="inlineStr"/>
    </row>
    <row r="197">
      <c r="B197" s="9" t="inlineStr">
        <is>
          <t>Item</t>
        </is>
      </c>
      <c r="C197" s="9" t="inlineStr">
        <is>
          <t>Central</t>
        </is>
      </c>
      <c r="D197" s="9" t="inlineStr">
        <is>
          <t>Pessimistic</t>
        </is>
      </c>
      <c r="E197" s="9" t="inlineStr">
        <is>
          <t>Optimistic</t>
        </is>
      </c>
      <c r="F197" s="9" t="inlineStr">
        <is>
          <t>ACTIVE</t>
        </is>
      </c>
      <c r="G197" s="9" t="inlineStr">
        <is>
          <t>Unit</t>
        </is>
      </c>
      <c r="H197" s="9" t="inlineStr">
        <is>
          <t>Source / note</t>
        </is>
      </c>
    </row>
    <row r="198">
      <c r="B198" s="10" t="inlineStr">
        <is>
          <t>Process layer mode (OFF · DIAGNOSE · LIVE)</t>
        </is>
      </c>
      <c r="C198" s="41" t="inlineStr">
        <is>
          <t>OFF</t>
        </is>
      </c>
      <c r="D198" s="14" t="inlineStr">
        <is>
          <t>OFF</t>
        </is>
      </c>
      <c r="E198" s="14" t="inlineStr">
        <is>
          <t>OFF</t>
        </is>
      </c>
      <c r="F198" s="42">
        <f>CHOOSE('Inputs'!$C$4,D198,C198,E198)</f>
        <v/>
      </c>
      <c r="G198" s="14" t="inlineStr">
        <is>
          <t>mode</t>
        </is>
      </c>
      <c r="H198"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9">
      <c r="B199" s="10" t="inlineStr">
        <is>
          <t>Top-down benchmark: target cost:income ratio</t>
        </is>
      </c>
      <c r="C199" s="23" t="n">
        <v>0.26</v>
      </c>
      <c r="D199" s="18" t="n">
        <v>0.26</v>
      </c>
      <c r="E199" s="18" t="n">
        <v>0.26</v>
      </c>
      <c r="F199" s="19">
        <f>CHOOSE('Inputs'!$C$4,D199,C199,E199)</f>
        <v/>
      </c>
      <c r="G199" s="14" t="inlineStr">
        <is>
          <t>%</t>
        </is>
      </c>
      <c r="H199"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'Inputs'!$F$190</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'Inputs'!$F$191</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'Inputs'!$F$192</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'Inputs'!$F$193</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'Inputs'!$F$194</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'Inputs'!$F$195</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IF('Inputs'!$F$198&lt;&gt;"LIVE",E11,IF(M11&lt;&gt;"TRANSACTIONAL",E11,IF(OR(N11="",N11&lt;=0),E11,E11/N11)))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IF('Inputs'!$F$198&lt;&gt;"LIVE",E12,IF(M12&lt;&gt;"TRANSACTIONAL",E12,IF(OR(N12="",N12&lt;=0),E12,E12/N12)))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IF('Inputs'!$F$198&lt;&gt;"LIVE",E13,IF(M13&lt;&gt;"TRANSACTIONAL",E13,IF(OR(N13="",N13&lt;=0),E13,E13/N13)))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IF('Inputs'!$F$198&lt;&gt;"LIVE",E14,IF(M14&lt;&gt;"TRANSACTIONAL",E14,IF(OR(N14="",N14&lt;=0),E14,E14/N14)))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IF('Inputs'!$F$198&lt;&gt;"LIVE",E15,IF(M15&lt;&gt;"TRANSACTIONAL",E15,IF(OR(N15="",N15&lt;=0),E15,E15/N15)))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IF('Inputs'!$F$198&lt;&gt;"LIVE",E16,IF(M16&lt;&gt;"TRANSACTIONAL",E16,IF(OR(N16="",N16&lt;=0),E16,E16/N16)))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IF('Inputs'!$F$198&lt;&gt;"LIVE",E17,IF(M17&lt;&gt;"TRANSACTIONAL",E17,IF(OR(N17="",N17&lt;=0),E17,E17/N17)))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IF('Inputs'!$F$198&lt;&gt;"LIVE",E18,IF(M18&lt;&gt;"TRANSACTIONAL",E18,IF(OR(N18="",N18&lt;=0),E18,E18/N18)))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IF('Inputs'!$F$198&lt;&gt;"LIVE",E19,IF(M19&lt;&gt;"TRANSACTIONAL",E19,IF(OR(N19="",N19&lt;=0),E19,E19/N19)))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IF('Inputs'!$F$198&lt;&gt;"LIVE",E20,IF(M20&lt;&gt;"TRANSACTIONAL",E20,IF(OR(N20="",N20&lt;=0),E20,E20/N20)))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IF('Inputs'!$F$198&lt;&gt;"LIVE",E21,IF(M21&lt;&gt;"TRANSACTIONAL",E21,IF(OR(N21="",N21&lt;=0),E21,E21/N21)))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IF('Inputs'!$F$198&lt;&gt;"LIVE",E22,IF(M22&lt;&gt;"TRANSACTIONAL",E22,IF(OR(N22="",N22&lt;=0),E22,E22/N22)))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IF('Inputs'!$F$198&lt;&gt;"LIVE",E23,IF(M23&lt;&gt;"TRANSACTIONAL",E23,IF(OR(N23="",N23&lt;=0),E23,E23/N23)))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IF('Inputs'!$F$198&lt;&gt;"LIVE",E24,IF(M24&lt;&gt;"TRANSACTIONAL",E24,IF(OR(N24="",N24&lt;=0),E24,E24/N24)))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IF('Inputs'!$F$198&lt;&gt;"LIVE",E25,IF(M25&lt;&gt;"TRANSACTIONAL",E25,IF(OR(N25="",N25&lt;=0),E25,E25/N25)))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IF('Inputs'!$F$198&lt;&gt;"LIVE",E26,IF(M26&lt;&gt;"TRANSACTIONAL",E26,IF(OR(N26="",N26&lt;=0),E26,E26/N26)))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IF('Inputs'!$F$198&lt;&gt;"LIVE",E27,IF(M27&lt;&gt;"TRANSACTIONAL",E27,IF(OR(N27="",N27&lt;=0),E27,E27/N27)))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IF('Inputs'!$F$198&lt;&gt;"LIVE",E28,IF(M28&lt;&gt;"TRANSACTIONAL",E28,IF(OR(N28="",N28&lt;=0),E28,E28/N28)))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IF('Inputs'!$F$198&lt;&gt;"LIVE",E29,IF(M29&lt;&gt;"TRANSACTIONAL",E29,IF(OR(N29="",N29&lt;=0),E29,E29/N29)))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IF('Inputs'!$F$198&lt;&gt;"LIVE",E30,IF(M30&lt;&gt;"TRANSACTIONAL",E30,IF(OR(N30="",N30&lt;=0),E30,E30/N30)))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IF('Inputs'!$F$198&lt;&gt;"LIVE",E31,IF(M31&lt;&gt;"TRANSACTIONAL",E31,IF(OR(N31="",N31&lt;=0),E31,E31/N31)))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IF('Inputs'!$F$198&lt;&gt;"LIVE",E32,IF(M32&lt;&gt;"TRANSACTIONAL",E32,IF(OR(N32="",N32&lt;=0),E32,E32/N32)))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IF('Inputs'!$F$198&lt;&gt;"LIVE",E33,IF(M33&lt;&gt;"TRANSACTIONAL",E33,IF(OR(N33="",N33&lt;=0),E33,E33/N33)))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'Inputs'!$F$199</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'Inputs'!$F$182*'Inputs'!$F$128*('1. Customers'!$C$4/'Inputs'!$F$182)^'Inputs'!$F$181</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'Inputs'!$F$182*'Inputs'!$F$129*('1. Customers'!$C$4/'Inputs'!$F$182)^'Inputs'!$F$181+'Inputs'!$F$185</f>
        <v/>
      </c>
      <c r="E13" s="14" t="inlineStr">
        <is>
          <t>Per-customer rate + fixed component (Inputs section N)</t>
        </is>
      </c>
    </row>
    <row r="14">
      <c r="B14" s="10" t="inlineStr">
        <is>
          <t>Risk, compliance, financial crime &amp; audit</t>
        </is>
      </c>
      <c r="C14" s="46">
        <f>'Inputs'!$F$182*'Inputs'!$F$130*('1. Customers'!$C$4/'Inputs'!$F$182)^'Inputs'!$F$181+'Inputs'!$F$186</f>
        <v/>
      </c>
      <c r="E14" s="14" t="inlineStr">
        <is>
          <t>Per-customer rate + fixed component (Inputs section N)</t>
        </is>
      </c>
    </row>
    <row r="15">
      <c r="B15" s="10" t="inlineStr">
        <is>
          <t>Finance, HR, exec, brand &amp; residual marketing</t>
        </is>
      </c>
      <c r="C15" s="46">
        <f>'Inputs'!$F$182*'Inputs'!$F$131*('1. Customers'!$C$4/'Inputs'!$F$182)^'Inputs'!$F$181+'Inputs'!$F$187</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'Inputs'!$F$182*'Inputs'!$F$145*('1. Customers'!$C$4/'Inputs'!$F$182)^'Inputs'!$F$181</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109"/>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£4,552,743 · cost:income 45.7% · RoE 21.8%</t>
        </is>
      </c>
    </row>
    <row r="7">
      <c r="B7" s="7" t="inlineStr">
        <is>
          <t>PRICES — AND THE DEMAND RESPONSE THAT WOULD CANCEL THEM</t>
        </is>
      </c>
      <c r="C7" s="8" t="inlineStr"/>
      <c r="D7" s="8" t="inlineStr"/>
      <c r="E7" s="8" t="inlineStr"/>
      <c r="F7" s="8" t="inlineStr"/>
      <c r="G7" s="8" t="inlineStr"/>
      <c r="H7" s="8" t="inlineStr"/>
    </row>
    <row r="8" ht="76" customHeight="1">
      <c r="B8" s="5" t="inlineStr">
        <is>
          <t>The elasticities below this section assume nothing responds to price. Raise a rate and volume does not move, so raising prices always looks accretive — the most misleading thing a model can tell anyone. This block gives, for each price, the demand elasticity at which raising it stops paying. A LOW break-even means fragile: the advice to raise that price survives only a very unresponsive customer, and the burden is on you to show they are one. None of these elasticities is known here; what the number replaces is not a measurement but a hidden assumption of zero, which is the least defensible value available. The query is the same in every case — move the price for a randomised subset and measure the volume response.</t>
        </is>
      </c>
    </row>
    <row r="9">
      <c r="B9" s="45" t="inlineStr">
        <is>
          <t>Price</t>
        </is>
      </c>
      <c r="C9" s="45" t="inlineStr">
        <is>
          <t>e(PBT) with no demand response</t>
        </is>
      </c>
      <c r="D9" s="45" t="inlineStr">
        <is>
          <t>Break-even demand elasticity</t>
        </is>
      </c>
      <c r="E9" s="45" t="inlineStr">
        <is>
          <t>Reading</t>
        </is>
      </c>
    </row>
    <row r="10">
      <c r="B10" s="10" t="inlineStr">
        <is>
          <t>Card — annual card fee</t>
        </is>
      </c>
      <c r="C10" s="71" t="n">
        <v>0.006388126970350395</v>
      </c>
      <c r="D10" s="63" t="n">
        <v>0.05544003490987621</v>
      </c>
      <c r="E10" s="14" t="inlineStr">
        <is>
          <t>fragile — only a near-inert customer makes this pay</t>
        </is>
      </c>
    </row>
    <row r="11">
      <c r="B11" s="10" t="inlineStr">
        <is>
          <t>BCA — monthly account fee</t>
        </is>
      </c>
      <c r="C11" s="71" t="n">
        <v>0.06787384905974791</v>
      </c>
      <c r="D11" s="63" t="n">
        <v>0.1275035819127078</v>
      </c>
      <c r="E11" s="14" t="inlineStr">
        <is>
          <t>fragile — only a near-inert customer makes this pay</t>
        </is>
      </c>
    </row>
    <row r="12">
      <c r="B12" s="10" t="inlineStr">
        <is>
          <t>Card — interest rate on revolving balances</t>
        </is>
      </c>
      <c r="C12" s="71" t="n">
        <v>0.01587050294191057</v>
      </c>
      <c r="D12" s="63" t="n">
        <v>0.1376205835187992</v>
      </c>
      <c r="E12" s="14" t="inlineStr">
        <is>
          <t>fragile — only a near-inert customer makes this pay</t>
        </is>
      </c>
    </row>
    <row r="13">
      <c r="B13" s="10" t="inlineStr">
        <is>
          <t>Term loans — arrangement fee</t>
        </is>
      </c>
      <c r="C13" s="71" t="n">
        <v>0.07486086293356356</v>
      </c>
      <c r="D13" s="63" t="n">
        <v>0.1792828253338209</v>
      </c>
      <c r="E13" s="14" t="inlineStr">
        <is>
          <t>fragile — only a near-inert customer makes this pay</t>
        </is>
      </c>
    </row>
    <row r="14">
      <c r="B14" s="10" t="inlineStr">
        <is>
          <t>Invoice finance — discount margin over base</t>
        </is>
      </c>
      <c r="C14" s="71" t="n">
        <v>0.07486086293356356</v>
      </c>
      <c r="D14" s="63" t="n">
        <v>0.2515282418779798</v>
      </c>
      <c r="E14" s="14" t="inlineStr">
        <is>
          <t>fragile — only a near-inert customer makes this pay</t>
        </is>
      </c>
    </row>
    <row r="15">
      <c r="B15" s="10" t="inlineStr">
        <is>
          <t>International payment fee</t>
        </is>
      </c>
      <c r="C15" s="71" t="n">
        <v>0.06987013873799264</v>
      </c>
      <c r="D15" s="63" t="n">
        <v>0.4122296676035196</v>
      </c>
      <c r="E15" s="14" t="inlineStr">
        <is>
          <t>fragile — only a near-inert customer makes this pay</t>
        </is>
      </c>
    </row>
    <row r="16">
      <c r="B16" s="10" t="inlineStr">
        <is>
          <t>Overdraft — annual arrangement/renewal fee</t>
        </is>
      </c>
      <c r="C16" s="71" t="n">
        <v>0.03743043146678178</v>
      </c>
      <c r="D16" s="63" t="n">
        <v>0.4581530737163218</v>
      </c>
      <c r="E16" s="14" t="inlineStr">
        <is>
          <t>fragile — only a near-inert customer makes this pay</t>
        </is>
      </c>
    </row>
    <row r="17">
      <c r="B17" s="10" t="inlineStr">
        <is>
          <t>FX — margin on conversion volume</t>
        </is>
      </c>
      <c r="C17" s="71" t="n">
        <v>0.09981448391141808</v>
      </c>
      <c r="D17" s="63" t="n">
        <v>0.5878609520414249</v>
      </c>
      <c r="E17" s="14" t="inlineStr">
        <is>
          <t>modest — a mildly responsive customer cancels it</t>
        </is>
      </c>
    </row>
    <row r="18">
      <c r="B18" s="10" t="inlineStr">
        <is>
          <t>Invoice finance — service fee</t>
        </is>
      </c>
      <c r="C18" s="71" t="n">
        <v>0.2395547613874034</v>
      </c>
      <c r="D18" s="63" t="n">
        <v>0.8004609263604965</v>
      </c>
      <c r="E18" s="14" t="inlineStr">
        <is>
          <t>modest — a mildly responsive customer cancels it</t>
        </is>
      </c>
    </row>
    <row r="19">
      <c r="B19" s="10" t="inlineStr">
        <is>
          <t>Overdraft — interest rate (EAR)</t>
        </is>
      </c>
      <c r="C19" s="71" t="n">
        <v>0.1094840120403367</v>
      </c>
      <c r="D19" s="63" t="n">
        <v>1.328382145135671</v>
      </c>
      <c r="E19" s="14" t="inlineStr">
        <is>
          <t>modest — a mildly responsive customer cancels it</t>
        </is>
      </c>
    </row>
    <row r="20">
      <c r="B20" s="10" t="inlineStr">
        <is>
          <t>Asset finance — customer yield</t>
        </is>
      </c>
      <c r="C20" s="71" t="n">
        <v>0.3619938616520844</v>
      </c>
      <c r="D20" s="63" t="n">
        <v>2.229914972398844</v>
      </c>
      <c r="E20" s="14" t="inlineStr">
        <is>
          <t>robust — needs a strongly responsive customer to destroy value</t>
        </is>
      </c>
    </row>
    <row r="21">
      <c r="B21" s="10" t="inlineStr">
        <is>
          <t>Term loans — customer rate</t>
        </is>
      </c>
      <c r="C21" s="71" t="n">
        <v>1.247681048892726</v>
      </c>
      <c r="D21" s="63" t="n">
        <v>2.906412804688113</v>
      </c>
      <c r="E21" s="14" t="inlineStr">
        <is>
          <t>robust — needs a strongly responsive customer to destroy value</t>
        </is>
      </c>
    </row>
    <row r="22">
      <c r="B22" s="10" t="inlineStr">
        <is>
          <t>Instant-access savings — rate paid</t>
        </is>
      </c>
      <c r="C22" s="71" t="n">
        <v>0.2635102375261355</v>
      </c>
      <c r="D22" s="63" t="n">
        <v>4.257749912948078</v>
      </c>
      <c r="E22" s="14" t="inlineStr">
        <is>
          <t>robust — needs a strongly responsive customer to destroy value</t>
        </is>
      </c>
    </row>
    <row r="23">
      <c r="B23" s="10" t="inlineStr">
        <is>
          <t>Notice &amp; fixed deposits — rate paid</t>
        </is>
      </c>
      <c r="C23" s="71" t="n">
        <v>0.3069295380276106</v>
      </c>
      <c r="D23" s="63" t="n">
        <v>42.5163639198051</v>
      </c>
      <c r="E23" s="14" t="inlineStr">
        <is>
          <t>robust — needs a strongly responsive customer to destroy value</t>
        </is>
      </c>
    </row>
    <row r="25">
      <c r="B25" s="45" t="inlineStr">
        <is>
          <t>Input</t>
        </is>
      </c>
      <c r="C25" s="45" t="inlineStr">
        <is>
          <t>Value</t>
        </is>
      </c>
      <c r="D25" s="45" t="inlineStr">
        <is>
          <t>Unit</t>
        </is>
      </c>
      <c r="E25" s="45" t="inlineStr">
        <is>
          <t>e(PBT)</t>
        </is>
      </c>
      <c r="F25" s="45" t="inlineStr">
        <is>
          <t>e(Cost:income)</t>
        </is>
      </c>
      <c r="G25" s="45" t="inlineStr">
        <is>
          <t>e(RoE)</t>
        </is>
      </c>
      <c r="H25" s="45" t="inlineStr">
        <is>
          <t>e(Income)</t>
        </is>
      </c>
    </row>
    <row r="26">
      <c r="B26" s="10" t="inlineStr">
        <is>
          <t>Term loans — customer rate</t>
        </is>
      </c>
      <c r="C26" s="63" t="n">
        <v>0.0625</v>
      </c>
      <c r="D26" s="14" t="inlineStr">
        <is>
          <t>% p.a.</t>
        </is>
      </c>
      <c r="E26" s="71" t="n">
        <v>1.247681048892727</v>
      </c>
      <c r="F26" s="71" t="n">
        <v>-0.5920579472668667</v>
      </c>
      <c r="G26" s="71" t="n">
        <v>1.148369761396499</v>
      </c>
      <c r="H26" s="71" t="n">
        <v>0.5955841505629065</v>
      </c>
    </row>
    <row r="27">
      <c r="B27" s="10" t="inlineStr">
        <is>
          <t>Reachable SMEs in region (R)</t>
        </is>
      </c>
      <c r="C27" s="63" t="n">
        <v>18750</v>
      </c>
      <c r="D27" s="14" t="inlineStr">
        <is>
          <t>businesses</t>
        </is>
      </c>
      <c r="E27" s="71" t="n">
        <v>1.00000000000003</v>
      </c>
      <c r="F27" s="71" t="n">
        <v>0</v>
      </c>
      <c r="G27" s="71" t="n">
        <v>0</v>
      </c>
      <c r="H27" s="71" t="n">
        <v>1.00000000000002</v>
      </c>
    </row>
    <row r="28">
      <c r="B28" s="10" t="inlineStr">
        <is>
          <t>Steady-state penetration (P)</t>
        </is>
      </c>
      <c r="C28" s="63" t="n">
        <v>0.16</v>
      </c>
      <c r="D28" s="14" t="inlineStr">
        <is>
          <t>% of reachable</t>
        </is>
      </c>
      <c r="E28" s="71" t="n">
        <v>1.00000000000003</v>
      </c>
      <c r="F28" s="71" t="n">
        <v>0</v>
      </c>
      <c r="G28" s="71" t="n">
        <v>0</v>
      </c>
      <c r="H28" s="71" t="n">
        <v>1.00000000000002</v>
      </c>
    </row>
    <row r="29">
      <c r="B29" s="10" t="inlineStr">
        <is>
          <t>Business current account — penetration</t>
        </is>
      </c>
      <c r="C29" s="63" t="n">
        <v>1</v>
      </c>
      <c r="D29" s="14" t="inlineStr">
        <is>
          <t>% of customers</t>
        </is>
      </c>
      <c r="E29" s="71" t="n">
        <v>0.5316502207558557</v>
      </c>
      <c r="F29" s="71" t="n">
        <v>-0.2263724971407025</v>
      </c>
      <c r="G29" s="71" t="n">
        <v>0.4858715994436417</v>
      </c>
      <c r="H29" s="71" t="n">
        <v>0.2763510458611886</v>
      </c>
    </row>
    <row r="30">
      <c r="B30" s="10" t="inlineStr">
        <is>
          <t>Term loans — average balance</t>
        </is>
      </c>
      <c r="C30" s="63" t="n">
        <v>250000</v>
      </c>
      <c r="D30" s="14" t="inlineStr">
        <is>
          <t>£/loan</t>
        </is>
      </c>
      <c r="E30" s="71" t="n">
        <v>0.4485219355690576</v>
      </c>
      <c r="F30" s="71" t="n">
        <v>-0.2508408142510311</v>
      </c>
      <c r="G30" s="71" t="n">
        <v>-0.172627245775743</v>
      </c>
      <c r="H30" s="71" t="n">
        <v>0.2514716076793886</v>
      </c>
    </row>
    <row r="31">
      <c r="B31" s="10" t="inlineStr">
        <is>
          <t>BCA — average credit balance</t>
        </is>
      </c>
      <c r="C31" s="63" t="n">
        <v>18000</v>
      </c>
      <c r="D31" s="14" t="inlineStr">
        <is>
          <t>£/account</t>
        </is>
      </c>
      <c r="E31" s="71" t="n">
        <v>0.4269286171458919</v>
      </c>
      <c r="F31" s="71" t="n">
        <v>-0.2009624805300439</v>
      </c>
      <c r="G31" s="71" t="n">
        <v>0.3928629971036865</v>
      </c>
      <c r="H31" s="71" t="n">
        <v>0.2058338824345483</v>
      </c>
    </row>
    <row r="32">
      <c r="B32" s="10" t="inlineStr">
        <is>
          <t>Term loans / commercial mortgages — penetration</t>
        </is>
      </c>
      <c r="C32" s="63" t="n">
        <v>0.12</v>
      </c>
      <c r="D32" s="14" t="inlineStr">
        <is>
          <t>%</t>
        </is>
      </c>
      <c r="E32" s="71" t="n">
        <v>0.4168087496628946</v>
      </c>
      <c r="F32" s="71" t="n">
        <v>-0.2178158778235073</v>
      </c>
      <c r="G32" s="71" t="n">
        <v>-0.2041443250685729</v>
      </c>
      <c r="H32" s="71" t="n">
        <v>0.2514716076793886</v>
      </c>
    </row>
    <row r="33">
      <c r="B33" s="10" t="inlineStr">
        <is>
          <t>Asset finance — customer yield</t>
        </is>
      </c>
      <c r="C33" s="63" t="n">
        <v>0.08500000000000001</v>
      </c>
      <c r="D33" s="14" t="inlineStr">
        <is>
          <t>% p.a.</t>
        </is>
      </c>
      <c r="E33" s="71" t="n">
        <v>0.3619938616520847</v>
      </c>
      <c r="F33" s="71" t="n">
        <v>-0.1725007356564119</v>
      </c>
      <c r="G33" s="71" t="n">
        <v>0.3334124986436103</v>
      </c>
      <c r="H33" s="71" t="n">
        <v>0.1727988148833219</v>
      </c>
    </row>
    <row r="34">
      <c r="B34" s="10" t="inlineStr">
        <is>
          <t>Invoice finance — average funds in use (advances)</t>
        </is>
      </c>
      <c r="C34" s="63" t="n">
        <v>150000</v>
      </c>
      <c r="D34" s="14" t="inlineStr">
        <is>
          <t>£/client</t>
        </is>
      </c>
      <c r="E34" s="71" t="n">
        <v>0.3101871844046677</v>
      </c>
      <c r="F34" s="71" t="n">
        <v>-0.1543074556452041</v>
      </c>
      <c r="G34" s="71" t="n">
        <v>0.209829595204097</v>
      </c>
      <c r="H34" s="71" t="n">
        <v>0.1545459315400012</v>
      </c>
    </row>
    <row r="35">
      <c r="B35" s="10" t="inlineStr">
        <is>
          <t>Notice &amp; fixed deposits — rate paid</t>
        </is>
      </c>
      <c r="C35" s="63" t="n">
        <v>0.041</v>
      </c>
      <c r="D35" s="14" t="inlineStr">
        <is>
          <t>% p.a.</t>
        </is>
      </c>
      <c r="E35" s="71" t="n">
        <v>-0.3069295380274881</v>
      </c>
      <c r="F35" s="71" t="n">
        <v>0.1467286786560457</v>
      </c>
      <c r="G35" s="71" t="n">
        <v>-0.2828446455047969</v>
      </c>
      <c r="H35" s="71" t="n">
        <v>-0.1465137010384164</v>
      </c>
    </row>
    <row r="36">
      <c r="B36" s="10" t="inlineStr">
        <is>
          <t>Invoice finance — penetration</t>
        </is>
      </c>
      <c r="C36" s="63" t="n">
        <v>0.03</v>
      </c>
      <c r="D36" s="14" t="inlineStr">
        <is>
          <t>%</t>
        </is>
      </c>
      <c r="E36" s="71" t="n">
        <v>0.2968754767403625</v>
      </c>
      <c r="F36" s="71" t="n">
        <v>-0.1404317212375283</v>
      </c>
      <c r="G36" s="71" t="n">
        <v>0.1965312055379295</v>
      </c>
      <c r="H36" s="71" t="n">
        <v>0.1545459315400012</v>
      </c>
    </row>
    <row r="37">
      <c r="B37" s="10" t="inlineStr">
        <is>
          <t>Head office: technology &amp; central operations</t>
        </is>
      </c>
      <c r="C37" s="63" t="n">
        <v>450</v>
      </c>
      <c r="D37" s="14" t="inlineStr">
        <is>
          <t>£/customer/yr</t>
        </is>
      </c>
      <c r="E37" s="71" t="n">
        <v>-0.2965245383102628</v>
      </c>
      <c r="F37" s="71" t="n">
        <v>0.3095661825398512</v>
      </c>
      <c r="G37" s="71" t="n">
        <v>-0.2965245383105712</v>
      </c>
      <c r="H37" s="71" t="n">
        <v>0</v>
      </c>
    </row>
    <row r="38">
      <c r="B38" s="10" t="inlineStr">
        <is>
          <t>Instant-access savings — rate paid</t>
        </is>
      </c>
      <c r="C38" s="63" t="n">
        <v>0.033</v>
      </c>
      <c r="D38" s="14" t="inlineStr">
        <is>
          <t>% p.a.</t>
        </is>
      </c>
      <c r="E38" s="71" t="n">
        <v>-0.2635102375261357</v>
      </c>
      <c r="F38" s="71" t="n">
        <v>0.1259457965071908</v>
      </c>
      <c r="G38" s="71" t="n">
        <v>-0.2428241773307234</v>
      </c>
      <c r="H38" s="71" t="n">
        <v>-0.125787372598882</v>
      </c>
    </row>
    <row r="39">
      <c r="B39" s="10" t="inlineStr">
        <is>
          <t>Invoice finance — funded invoices as multiple of advances</t>
        </is>
      </c>
      <c r="C39" s="63" t="n">
        <v>8</v>
      </c>
      <c r="D39" s="14" t="inlineStr">
        <is>
          <t>x p.a.</t>
        </is>
      </c>
      <c r="E39" s="71" t="n">
        <v>0.2395547613874036</v>
      </c>
      <c r="F39" s="71" t="n">
        <v>-0.1142215421111091</v>
      </c>
      <c r="G39" s="71" t="n">
        <v>0.2206618790426836</v>
      </c>
      <c r="H39" s="71" t="n">
        <v>0.1143521569080781</v>
      </c>
    </row>
    <row r="40">
      <c r="B40" s="10" t="inlineStr">
        <is>
          <t>Invoice finance — service fee</t>
        </is>
      </c>
      <c r="C40" s="63" t="n">
        <v>0.01</v>
      </c>
      <c r="D40" s="14" t="inlineStr">
        <is>
          <t>% of funded invoices</t>
        </is>
      </c>
      <c r="E40" s="71" t="n">
        <v>0.2395547613874036</v>
      </c>
      <c r="F40" s="71" t="n">
        <v>-0.1142215421111091</v>
      </c>
      <c r="G40" s="71" t="n">
        <v>0.2206618790426836</v>
      </c>
      <c r="H40" s="71" t="n">
        <v>0.1143521569080781</v>
      </c>
    </row>
    <row r="41">
      <c r="B41" s="10" t="inlineStr">
        <is>
          <t>Bank of England Bank Rate</t>
        </is>
      </c>
      <c r="C41" s="63" t="n">
        <v>0.0375</v>
      </c>
      <c r="D41" s="14" t="inlineStr">
        <is>
          <t>% p.a.</t>
        </is>
      </c>
      <c r="E41" s="71" t="n">
        <v>0.1990512830997236</v>
      </c>
      <c r="F41" s="71" t="n">
        <v>-0.09492750668173035</v>
      </c>
      <c r="G41" s="71" t="n">
        <v>0.1931242862657616</v>
      </c>
      <c r="H41" s="71" t="n">
        <v>0.09501770461968793</v>
      </c>
    </row>
    <row r="42">
      <c r="B42" s="10" t="inlineStr">
        <is>
          <t>International payments &amp; FX — penetration</t>
        </is>
      </c>
      <c r="C42" s="63" t="n">
        <v>0.2</v>
      </c>
      <c r="D42" s="14" t="inlineStr">
        <is>
          <t>%</t>
        </is>
      </c>
      <c r="E42" s="71" t="n">
        <v>0.1687945307331029</v>
      </c>
      <c r="F42" s="71" t="n">
        <v>-0.08000540090128463</v>
      </c>
      <c r="G42" s="71" t="n">
        <v>0.1554207840445721</v>
      </c>
      <c r="H42" s="71" t="n">
        <v>0.08099944447655529</v>
      </c>
    </row>
    <row r="43">
      <c r="B43" s="10" t="inlineStr">
        <is>
          <t>Asset finance — average balance</t>
        </is>
      </c>
      <c r="C43" s="63" t="n">
        <v>80000</v>
      </c>
      <c r="D43" s="14" t="inlineStr">
        <is>
          <t>£/agreement</t>
        </is>
      </c>
      <c r="E43" s="71" t="n">
        <v>0.1658745747382735</v>
      </c>
      <c r="F43" s="71" t="n">
        <v>-0.09273546655296665</v>
      </c>
      <c r="G43" s="71" t="n">
        <v>0.008961968797843937</v>
      </c>
      <c r="H43" s="71" t="n">
        <v>0.09282154504571802</v>
      </c>
    </row>
    <row r="44">
      <c r="B44" s="10" t="inlineStr">
        <is>
          <t>Head office: risk, compliance, financial crime, audit</t>
        </is>
      </c>
      <c r="C44" s="63" t="n">
        <v>250</v>
      </c>
      <c r="D44" s="14" t="inlineStr">
        <is>
          <t>£/customer/yr</t>
        </is>
      </c>
      <c r="E44" s="71" t="n">
        <v>-0.1647358546168127</v>
      </c>
      <c r="F44" s="71" t="n">
        <v>0.1719812125220667</v>
      </c>
      <c r="G44" s="71" t="n">
        <v>-0.1647358546170901</v>
      </c>
      <c r="H44" s="71" t="n">
        <v>0</v>
      </c>
    </row>
    <row r="45">
      <c r="B45" s="10" t="inlineStr">
        <is>
          <t>Asset finance — penetration</t>
        </is>
      </c>
      <c r="C45" s="63" t="n">
        <v>0.08</v>
      </c>
      <c r="D45" s="14" t="inlineStr">
        <is>
          <t>%</t>
        </is>
      </c>
      <c r="E45" s="71" t="n">
        <v>0.1587153370028682</v>
      </c>
      <c r="F45" s="71" t="n">
        <v>-0.08526828474335443</v>
      </c>
      <c r="G45" s="71" t="n">
        <v>0.001813946205839392</v>
      </c>
      <c r="H45" s="71" t="n">
        <v>0.09282154504571802</v>
      </c>
    </row>
    <row r="46">
      <c r="B46" s="10" t="inlineStr">
        <is>
          <t>Head office: finance, HR, exec, brand &amp; residual (non-acquisition) marketing</t>
        </is>
      </c>
      <c r="C46" s="63" t="n">
        <v>222</v>
      </c>
      <c r="D46" s="14" t="inlineStr">
        <is>
          <t>£/customer/yr</t>
        </is>
      </c>
      <c r="E46" s="71" t="n">
        <v>-0.1462854388997297</v>
      </c>
      <c r="F46" s="71" t="n">
        <v>0.1527193167196385</v>
      </c>
      <c r="G46" s="71" t="n">
        <v>-0.1462854388999867</v>
      </c>
      <c r="H46" s="71" t="n">
        <v>0</v>
      </c>
    </row>
    <row r="47">
      <c r="B47" s="10" t="inlineStr">
        <is>
          <t>Equity held against RWAs (CET1 target)</t>
        </is>
      </c>
      <c r="C47" s="63" t="n">
        <v>0.14</v>
      </c>
      <c r="D47" s="14" t="inlineStr">
        <is>
          <t>% of RWA</t>
        </is>
      </c>
      <c r="E47" s="71" t="n">
        <v>0.1238711722148994</v>
      </c>
      <c r="F47" s="71" t="n">
        <v>-0.05909531843834973</v>
      </c>
      <c r="G47" s="71" t="n">
        <v>-0.8674542849359645</v>
      </c>
      <c r="H47" s="71" t="n">
        <v>0.05913026165485447</v>
      </c>
    </row>
    <row r="48">
      <c r="B48" s="10" t="inlineStr">
        <is>
          <t>Business credit card — penetration</t>
        </is>
      </c>
      <c r="C48" s="63" t="n">
        <v>0.3</v>
      </c>
      <c r="D48" s="14" t="inlineStr">
        <is>
          <t>%</t>
        </is>
      </c>
      <c r="E48" s="71" t="n">
        <v>0.115162001627308</v>
      </c>
      <c r="F48" s="71" t="n">
        <v>-0.05450341134971946</v>
      </c>
      <c r="G48" s="71" t="n">
        <v>0.1025383467743691</v>
      </c>
      <c r="H48" s="71" t="n">
        <v>0.05762391571351869</v>
      </c>
    </row>
    <row r="49">
      <c r="B49" s="10" t="inlineStr">
        <is>
          <t>Overdraft — interest rate (EAR)</t>
        </is>
      </c>
      <c r="C49" s="63" t="n">
        <v>0.0975</v>
      </c>
      <c r="D49" s="14" t="inlineStr">
        <is>
          <t>% p.a.</t>
        </is>
      </c>
      <c r="E49" s="71" t="n">
        <v>0.1094840120404391</v>
      </c>
      <c r="F49" s="71" t="n">
        <v>-0.05223520978052387</v>
      </c>
      <c r="G49" s="71" t="n">
        <v>0.1008596961142311</v>
      </c>
      <c r="H49" s="71" t="n">
        <v>0.05226250921193411</v>
      </c>
    </row>
    <row r="50">
      <c r="B50" s="10" t="inlineStr">
        <is>
          <t>Card — average monthly spend</t>
        </is>
      </c>
      <c r="C50" s="63" t="n">
        <v>2500</v>
      </c>
      <c r="D50" s="14" t="inlineStr">
        <is>
          <t>£/card/month</t>
        </is>
      </c>
      <c r="E50" s="71" t="n">
        <v>0.1018107735896629</v>
      </c>
      <c r="F50" s="71" t="n">
        <v>-0.04857605888322602</v>
      </c>
      <c r="G50" s="71" t="n">
        <v>0.09379146319211618</v>
      </c>
      <c r="H50" s="71" t="n">
        <v>0.04859966668594098</v>
      </c>
    </row>
    <row r="51">
      <c r="B51" s="10" t="inlineStr">
        <is>
          <t>Card — commercial interchange earned</t>
        </is>
      </c>
      <c r="C51" s="63" t="n">
        <v>0.017</v>
      </c>
      <c r="D51" s="14" t="inlineStr">
        <is>
          <t>% of spend</t>
        </is>
      </c>
      <c r="E51" s="71" t="n">
        <v>0.1018107735896629</v>
      </c>
      <c r="F51" s="71" t="n">
        <v>-0.04857605888322602</v>
      </c>
      <c r="G51" s="71" t="n">
        <v>0.09379146319211618</v>
      </c>
      <c r="H51" s="71" t="n">
        <v>0.04859966668594098</v>
      </c>
    </row>
    <row r="52">
      <c r="B52" s="10" t="inlineStr">
        <is>
          <t>Term funding premium over Bank Rate</t>
        </is>
      </c>
      <c r="C52" s="63" t="n">
        <v>0.006</v>
      </c>
      <c r="D52" s="14" t="inlineStr">
        <is>
          <t>% p.a.</t>
        </is>
      </c>
      <c r="E52" s="71" t="n">
        <v>-0.1004133708148834</v>
      </c>
      <c r="F52" s="71" t="n">
        <v>0.04795559880866109</v>
      </c>
      <c r="G52" s="71" t="n">
        <v>-0.09251885130815904</v>
      </c>
      <c r="H52" s="71" t="n">
        <v>-0.04793261243730116</v>
      </c>
    </row>
    <row r="53">
      <c r="B53" s="10" t="inlineStr">
        <is>
          <t>Behavioural term credit for stable non-maturing deposits</t>
        </is>
      </c>
      <c r="C53" s="63" t="n">
        <v>0.005</v>
      </c>
      <c r="D53" s="14" t="inlineStr">
        <is>
          <t>% p.a.</t>
        </is>
      </c>
      <c r="E53" s="71" t="n">
        <v>0.09981448391141816</v>
      </c>
      <c r="F53" s="71" t="n">
        <v>-0.04762404074601882</v>
      </c>
      <c r="G53" s="71" t="n">
        <v>0.09195255933441075</v>
      </c>
      <c r="H53" s="71" t="n">
        <v>0.04764673204503252</v>
      </c>
    </row>
    <row r="54">
      <c r="B54" s="10" t="inlineStr">
        <is>
          <t>FX — average annual conversion volume</t>
        </is>
      </c>
      <c r="C54" s="63" t="n">
        <v>100000</v>
      </c>
      <c r="D54" s="14" t="inlineStr">
        <is>
          <t>£/user/yr</t>
        </is>
      </c>
      <c r="E54" s="71" t="n">
        <v>0.09981448391141816</v>
      </c>
      <c r="F54" s="71" t="n">
        <v>-0.04762404074601882</v>
      </c>
      <c r="G54" s="71" t="n">
        <v>0.09195255933441075</v>
      </c>
      <c r="H54" s="71" t="n">
        <v>0.04764673204503252</v>
      </c>
    </row>
    <row r="55">
      <c r="B55" s="10" t="inlineStr">
        <is>
          <t>FX — margin on conversion volume</t>
        </is>
      </c>
      <c r="C55" s="63" t="n">
        <v>0.0075</v>
      </c>
      <c r="D55" s="14" t="inlineStr">
        <is>
          <t>% of volume</t>
        </is>
      </c>
      <c r="E55" s="71" t="n">
        <v>0.09981448391141816</v>
      </c>
      <c r="F55" s="71" t="n">
        <v>-0.04762404074601882</v>
      </c>
      <c r="G55" s="71" t="n">
        <v>0.09195255933441075</v>
      </c>
      <c r="H55" s="71" t="n">
        <v>0.04764673204503252</v>
      </c>
    </row>
    <row r="56">
      <c r="B56" s="10" t="inlineStr">
        <is>
          <t>Overdraft — average limit</t>
        </is>
      </c>
      <c r="C56" s="63" t="n">
        <v>15000</v>
      </c>
      <c r="D56" s="14" t="inlineStr">
        <is>
          <t>£/facility</t>
        </is>
      </c>
      <c r="E56" s="71" t="n">
        <v>0.09519058528012668</v>
      </c>
      <c r="F56" s="71" t="n">
        <v>-0.05209194641982378</v>
      </c>
      <c r="G56" s="71" t="n">
        <v>0.051574506124141</v>
      </c>
      <c r="H56" s="71" t="n">
        <v>0.05211909627141639</v>
      </c>
    </row>
    <row r="57">
      <c r="B57" s="10" t="inlineStr">
        <is>
          <t>Productive hours per FTE per month</t>
        </is>
      </c>
      <c r="C57" s="63" t="n">
        <v>147</v>
      </c>
      <c r="D57" s="14" t="inlineStr">
        <is>
          <t>hours</t>
        </is>
      </c>
      <c r="E57" s="71" t="n">
        <v>0.09121190632452875</v>
      </c>
      <c r="F57" s="71" t="n">
        <v>-0.09522355823886089</v>
      </c>
      <c r="G57" s="71" t="n">
        <v>0.09121190632435788</v>
      </c>
      <c r="H57" s="71" t="n">
        <v>0</v>
      </c>
    </row>
    <row r="58">
      <c r="B58" s="10" t="inlineStr">
        <is>
          <t>Overdraft — penetration</t>
        </is>
      </c>
      <c r="C58" s="63" t="n">
        <v>0.25</v>
      </c>
      <c r="D58" s="14" t="inlineStr">
        <is>
          <t>%</t>
        </is>
      </c>
      <c r="E58" s="71" t="n">
        <v>0.08132422312990931</v>
      </c>
      <c r="F58" s="71" t="n">
        <v>-0.0376232594615131</v>
      </c>
      <c r="G58" s="71" t="n">
        <v>0.0377141861854879</v>
      </c>
      <c r="H58" s="71" t="n">
        <v>0.05211909627141639</v>
      </c>
    </row>
    <row r="59">
      <c r="B59" s="10" t="inlineStr">
        <is>
          <t>Customers per relationship manager (L)</t>
        </is>
      </c>
      <c r="C59" s="63" t="n">
        <v>120</v>
      </c>
      <c r="D59" s="14" t="inlineStr">
        <is>
          <t>customers</t>
        </is>
      </c>
      <c r="E59" s="71" t="n">
        <v>0.08107710567534358</v>
      </c>
      <c r="F59" s="71" t="n">
        <v>-0.08464301213748615</v>
      </c>
      <c r="G59" s="71" t="n">
        <v>0.08107710567522457</v>
      </c>
      <c r="H59" s="71" t="n">
        <v>0</v>
      </c>
    </row>
    <row r="60">
      <c r="B60" s="10" t="inlineStr">
        <is>
          <t>Share of customers that are relationship-managed</t>
        </is>
      </c>
      <c r="C60" s="63" t="n">
        <v>0.15</v>
      </c>
      <c r="D60" s="14" t="inlineStr">
        <is>
          <t>%</t>
        </is>
      </c>
      <c r="E60" s="71" t="n">
        <v>-0.08092587948856705</v>
      </c>
      <c r="F60" s="71" t="n">
        <v>0.08448513477060619</v>
      </c>
      <c r="G60" s="71" t="n">
        <v>-0.08092587948885854</v>
      </c>
      <c r="H60" s="71" t="n">
        <v>0</v>
      </c>
    </row>
    <row r="61">
      <c r="B61" s="10" t="inlineStr">
        <is>
          <t>BCA — net transaction &amp; cash-handling income</t>
        </is>
      </c>
      <c r="C61" s="63" t="n">
        <v>120</v>
      </c>
      <c r="D61" s="14" t="inlineStr">
        <is>
          <t>£/account/yr</t>
        </is>
      </c>
      <c r="E61" s="71" t="n">
        <v>0.07985158712913452</v>
      </c>
      <c r="F61" s="71" t="n">
        <v>-0.03810286182134639</v>
      </c>
      <c r="G61" s="71" t="n">
        <v>0.07356320301076685</v>
      </c>
      <c r="H61" s="71" t="n">
        <v>0.03811738563602602</v>
      </c>
    </row>
    <row r="62">
      <c r="B62" s="10" t="inlineStr">
        <is>
          <t>Change-the-bank / transformation spend per customer</t>
        </is>
      </c>
      <c r="C62" s="63" t="n">
        <v>120</v>
      </c>
      <c r="D62" s="14" t="inlineStr">
        <is>
          <t>£/customer/yr</t>
        </is>
      </c>
      <c r="E62" s="71" t="n">
        <v>-0.07907321021607008</v>
      </c>
      <c r="F62" s="71" t="n">
        <v>0.08255098201058327</v>
      </c>
      <c r="G62" s="71" t="n">
        <v>-0.0790732102163739</v>
      </c>
      <c r="H62" s="71" t="n">
        <v>0</v>
      </c>
    </row>
    <row r="63">
      <c r="B63" s="10" t="inlineStr">
        <is>
          <t>Term loans — probability of default</t>
        </is>
      </c>
      <c r="C63" s="63" t="n">
        <v>0.018</v>
      </c>
      <c r="D63" s="14" t="inlineStr">
        <is>
          <t>% p.a.</t>
        </is>
      </c>
      <c r="E63" s="71" t="n">
        <v>-0.07828247811390938</v>
      </c>
      <c r="F63" s="71" t="n">
        <v>0</v>
      </c>
      <c r="G63" s="71" t="n">
        <v>-0.07828247811415756</v>
      </c>
      <c r="H63" s="71" t="n">
        <v>0</v>
      </c>
    </row>
    <row r="64">
      <c r="B64" s="10" t="inlineStr">
        <is>
          <t>Term loans — loss given default</t>
        </is>
      </c>
      <c r="C64" s="63" t="n">
        <v>0.25</v>
      </c>
      <c r="D64" s="14" t="inlineStr">
        <is>
          <t>%</t>
        </is>
      </c>
      <c r="E64" s="71" t="n">
        <v>-0.07828247811390938</v>
      </c>
      <c r="F64" s="71" t="n">
        <v>0</v>
      </c>
      <c r="G64" s="71" t="n">
        <v>-0.07828247811415756</v>
      </c>
      <c r="H64" s="71" t="n">
        <v>0</v>
      </c>
    </row>
    <row r="65">
      <c r="B65" s="10" t="inlineStr">
        <is>
          <t>Term loans — arrangement fee</t>
        </is>
      </c>
      <c r="C65" s="63" t="n">
        <v>0.015</v>
      </c>
      <c r="D65" s="14" t="inlineStr">
        <is>
          <t>% of loan</t>
        </is>
      </c>
      <c r="E65" s="71" t="n">
        <v>0.07486086293356362</v>
      </c>
      <c r="F65" s="71" t="n">
        <v>-0.03572228365829964</v>
      </c>
      <c r="G65" s="71" t="n">
        <v>0.0689657736584007</v>
      </c>
      <c r="H65" s="71" t="n">
        <v>0.03573504903377439</v>
      </c>
    </row>
    <row r="66">
      <c r="B66" s="10" t="inlineStr">
        <is>
          <t>Invoice finance — discount margin over base</t>
        </is>
      </c>
      <c r="C66" s="63" t="n">
        <v>0.025</v>
      </c>
      <c r="D66" s="14" t="inlineStr">
        <is>
          <t>% p.a.</t>
        </is>
      </c>
      <c r="E66" s="71" t="n">
        <v>0.07486086293356362</v>
      </c>
      <c r="F66" s="71" t="n">
        <v>-0.03572228365829964</v>
      </c>
      <c r="G66" s="71" t="n">
        <v>0.0689657736584007</v>
      </c>
      <c r="H66" s="71" t="n">
        <v>0.03573504903377439</v>
      </c>
    </row>
    <row r="67">
      <c r="B67" s="10" t="inlineStr">
        <is>
          <t>Term loans — risk weight</t>
        </is>
      </c>
      <c r="C67" s="63" t="n">
        <v>0.7</v>
      </c>
      <c r="D67" s="14" t="inlineStr">
        <is>
          <t>%</t>
        </is>
      </c>
      <c r="E67" s="71" t="n">
        <v>0.07264851188601439</v>
      </c>
      <c r="F67" s="71" t="n">
        <v>-0.03466695472918382</v>
      </c>
      <c r="G67" s="71" t="n">
        <v>-0.5108399059911144</v>
      </c>
      <c r="H67" s="71" t="n">
        <v>0.03467897687449064</v>
      </c>
    </row>
    <row r="68">
      <c r="B68" s="10" t="inlineStr">
        <is>
          <t>International payments — number per user per year</t>
        </is>
      </c>
      <c r="C68" s="63" t="n">
        <v>30</v>
      </c>
      <c r="D68" s="14" t="inlineStr">
        <is>
          <t>payments</t>
        </is>
      </c>
      <c r="E68" s="71" t="n">
        <v>0.06987013873799271</v>
      </c>
      <c r="F68" s="71" t="n">
        <v>-0.03334159210622355</v>
      </c>
      <c r="G68" s="71" t="n">
        <v>0.06436830819666425</v>
      </c>
      <c r="H68" s="71" t="n">
        <v>0.03335271243152277</v>
      </c>
    </row>
    <row r="69">
      <c r="B69" s="10" t="inlineStr">
        <is>
          <t>International payment fee</t>
        </is>
      </c>
      <c r="C69" s="63" t="n">
        <v>17.5</v>
      </c>
      <c r="D69" s="14" t="inlineStr">
        <is>
          <t>£/payment</t>
        </is>
      </c>
      <c r="E69" s="71" t="n">
        <v>0.06987013873799271</v>
      </c>
      <c r="F69" s="71" t="n">
        <v>-0.03334159210622355</v>
      </c>
      <c r="G69" s="71" t="n">
        <v>0.06436830819666425</v>
      </c>
      <c r="H69" s="71" t="n">
        <v>0.03335271243152277</v>
      </c>
    </row>
    <row r="70">
      <c r="B70" s="10" t="inlineStr">
        <is>
          <t>BCA — monthly account fee</t>
        </is>
      </c>
      <c r="C70" s="63" t="n">
        <v>8.5</v>
      </c>
      <c r="D70" s="14" t="inlineStr">
        <is>
          <t>£/month</t>
        </is>
      </c>
      <c r="E70" s="71" t="n">
        <v>0.06787384905976844</v>
      </c>
      <c r="F70" s="71" t="n">
        <v>-0.03238928373466862</v>
      </c>
      <c r="G70" s="71" t="n">
        <v>0.06252931190123294</v>
      </c>
      <c r="H70" s="71" t="n">
        <v>0.03239977779061431</v>
      </c>
    </row>
    <row r="71">
      <c r="B71" s="10" t="inlineStr">
        <is>
          <t>Relationship manager — salary</t>
        </is>
      </c>
      <c r="C71" s="63" t="n">
        <v>65000</v>
      </c>
      <c r="D71" s="14" t="inlineStr">
        <is>
          <t>£/yr</t>
        </is>
      </c>
      <c r="E71" s="71" t="n">
        <v>-0.06464852694618542</v>
      </c>
      <c r="F71" s="71" t="n">
        <v>0.06749187708921207</v>
      </c>
      <c r="G71" s="71" t="n">
        <v>-0.06464852694648321</v>
      </c>
      <c r="H71" s="71" t="n">
        <v>0</v>
      </c>
    </row>
    <row r="72">
      <c r="B72" s="10" t="inlineStr">
        <is>
          <t>Instant-access savings — average balance</t>
        </is>
      </c>
      <c r="C72" s="63" t="n">
        <v>30000</v>
      </c>
      <c r="D72" s="14" t="inlineStr">
        <is>
          <t>£/account</t>
        </is>
      </c>
      <c r="E72" s="71" t="n">
        <v>0.06103463413552909</v>
      </c>
      <c r="F72" s="71" t="n">
        <v>-0.02751368315916409</v>
      </c>
      <c r="G72" s="71" t="n">
        <v>0.05600480950303754</v>
      </c>
      <c r="H72" s="71" t="n">
        <v>0.03049390850881691</v>
      </c>
    </row>
    <row r="73">
      <c r="B73" s="10" t="inlineStr">
        <is>
          <t>Term loans — average life</t>
        </is>
      </c>
      <c r="C73" s="63" t="n">
        <v>4</v>
      </c>
      <c r="D73" s="14" t="inlineStr">
        <is>
          <t>years</t>
        </is>
      </c>
      <c r="E73" s="71" t="n">
        <v>-0.0605521133221927</v>
      </c>
      <c r="F73" s="71" t="n">
        <v>0.02122446956929888</v>
      </c>
      <c r="G73" s="71" t="n">
        <v>-0.05472260563925134</v>
      </c>
      <c r="H73" s="71" t="n">
        <v>-0.03538123666704555</v>
      </c>
    </row>
    <row r="74">
      <c r="B74" s="10" t="inlineStr">
        <is>
          <t>BCA — credit interest paid</t>
        </is>
      </c>
      <c r="C74" s="63" t="n">
        <v>0.005</v>
      </c>
      <c r="D74" s="14" t="inlineStr">
        <is>
          <t>% p.a.</t>
        </is>
      </c>
      <c r="E74" s="71" t="n">
        <v>-0.0598886903468509</v>
      </c>
      <c r="F74" s="71" t="n">
        <v>0.02859621432394117</v>
      </c>
      <c r="G74" s="71" t="n">
        <v>-0.05517846962304982</v>
      </c>
      <c r="H74" s="71" t="n">
        <v>-0.02858803922701951</v>
      </c>
    </row>
    <row r="75">
      <c r="B75" s="10" t="inlineStr">
        <is>
          <t>Instant-access savings — penetration</t>
        </is>
      </c>
      <c r="C75" s="63" t="n">
        <v>0.4</v>
      </c>
      <c r="D75" s="14" t="inlineStr">
        <is>
          <t>%</t>
        </is>
      </c>
      <c r="E75" s="71" t="n">
        <v>0.0592544503026677</v>
      </c>
      <c r="F75" s="71" t="n">
        <v>-0.02565577041929928</v>
      </c>
      <c r="G75" s="71" t="n">
        <v>0.05422471515567431</v>
      </c>
      <c r="H75" s="71" t="n">
        <v>0.03049390850881691</v>
      </c>
    </row>
    <row r="76">
      <c r="B76" s="10" t="inlineStr">
        <is>
          <t>Overdraft — average utilisation</t>
        </is>
      </c>
      <c r="C76" s="63" t="n">
        <v>0.45</v>
      </c>
      <c r="D76" s="14" t="inlineStr">
        <is>
          <t>% of limit</t>
        </is>
      </c>
      <c r="E76" s="71" t="n">
        <v>0.05776015381344716</v>
      </c>
      <c r="F76" s="71" t="n">
        <v>-0.03423984406982809</v>
      </c>
      <c r="G76" s="71" t="n">
        <v>0.01710511817772802</v>
      </c>
      <c r="H76" s="71" t="n">
        <v>0.03425157175458779</v>
      </c>
    </row>
    <row r="77">
      <c r="B77" s="10" t="inlineStr">
        <is>
          <t>Credit analyst / underwriter — salary</t>
        </is>
      </c>
      <c r="C77" s="63" t="n">
        <v>55000</v>
      </c>
      <c r="D77" s="14" t="inlineStr">
        <is>
          <t>£/yr</t>
        </is>
      </c>
      <c r="E77" s="71" t="n">
        <v>-0.05171141124509487</v>
      </c>
      <c r="F77" s="71" t="n">
        <v>0.05398576544161963</v>
      </c>
      <c r="G77" s="71" t="n">
        <v>-0.05171141124499209</v>
      </c>
      <c r="H77" s="71" t="n">
        <v>0</v>
      </c>
    </row>
    <row r="78">
      <c r="B78" s="10" t="inlineStr">
        <is>
          <t>Liquidity buffer held against deposits (LCR / HQLA)</t>
        </is>
      </c>
      <c r="C78" s="63" t="n">
        <v>0.15</v>
      </c>
      <c r="D78" s="14" t="inlineStr">
        <is>
          <t>% of deposits</t>
        </is>
      </c>
      <c r="E78" s="71" t="n">
        <v>-0.04117347461329634</v>
      </c>
      <c r="F78" s="71" t="n">
        <v>0.01965814063393465</v>
      </c>
      <c r="G78" s="71" t="n">
        <v>-0.03793463915464931</v>
      </c>
      <c r="H78" s="71" t="n">
        <v>-0.01965427696859545</v>
      </c>
    </row>
    <row r="79">
      <c r="B79" s="10" t="inlineStr">
        <is>
          <t>Yield give-up on the liquidity buffer vs Bank Rate</t>
        </is>
      </c>
      <c r="C79" s="63" t="n">
        <v>0.01</v>
      </c>
      <c r="D79" s="14" t="inlineStr">
        <is>
          <t>% p.a.</t>
        </is>
      </c>
      <c r="E79" s="71" t="n">
        <v>-0.04117347461329634</v>
      </c>
      <c r="F79" s="71" t="n">
        <v>0.01965814063393465</v>
      </c>
      <c r="G79" s="71" t="n">
        <v>-0.03793463915464931</v>
      </c>
      <c r="H79" s="71" t="n">
        <v>-0.01965427696859545</v>
      </c>
    </row>
    <row r="80">
      <c r="B80" s="10" t="inlineStr">
        <is>
          <t>Unit-level platform &amp; processing cost</t>
        </is>
      </c>
      <c r="C80" s="63" t="n">
        <v>60</v>
      </c>
      <c r="D80" s="14" t="inlineStr">
        <is>
          <t>£/customer/yr</t>
        </is>
      </c>
      <c r="E80" s="71" t="n">
        <v>-0.03953660510803504</v>
      </c>
      <c r="F80" s="71" t="n">
        <v>0.0412754910054009</v>
      </c>
      <c r="G80" s="71" t="n">
        <v>-0.03953660510795137</v>
      </c>
      <c r="H80" s="71" t="n">
        <v>0</v>
      </c>
    </row>
    <row r="81">
      <c r="B81" s="10" t="inlineStr">
        <is>
          <t>Overdraft — annual arrangement/renewal fee</t>
        </is>
      </c>
      <c r="C81" s="63" t="n">
        <v>0.015</v>
      </c>
      <c r="D81" s="14" t="inlineStr">
        <is>
          <t>% of limit</t>
        </is>
      </c>
      <c r="E81" s="71" t="n">
        <v>0.03743043146690454</v>
      </c>
      <c r="F81" s="71" t="n">
        <v>-0.01786433260297001</v>
      </c>
      <c r="G81" s="71" t="n">
        <v>0.03448390249733824</v>
      </c>
      <c r="H81" s="71" t="n">
        <v>0.01786752451694579</v>
      </c>
    </row>
    <row r="82">
      <c r="B82" s="10" t="inlineStr">
        <is>
          <t>Fraud &amp; payment losses (incl. APP reimbursement) per current account</t>
        </is>
      </c>
      <c r="C82" s="63" t="n">
        <v>45</v>
      </c>
      <c r="D82" s="14" t="inlineStr">
        <is>
          <t>£/BCA/yr</t>
        </is>
      </c>
      <c r="E82" s="71" t="n">
        <v>-0.02965245383102628</v>
      </c>
      <c r="F82" s="71" t="n">
        <v>0.03095661825405067</v>
      </c>
      <c r="G82" s="71" t="n">
        <v>-0.02965245383120229</v>
      </c>
      <c r="H82" s="71" t="n">
        <v>0</v>
      </c>
    </row>
    <row r="83">
      <c r="B83" s="10" t="inlineStr">
        <is>
          <t>Asset finance — probability of default</t>
        </is>
      </c>
      <c r="C83" s="63" t="n">
        <v>0.022</v>
      </c>
      <c r="D83" s="14" t="inlineStr">
        <is>
          <t>% p.a.</t>
        </is>
      </c>
      <c r="E83" s="71" t="n">
        <v>-0.02857600386260983</v>
      </c>
      <c r="F83" s="71" t="n">
        <v>0</v>
      </c>
      <c r="G83" s="71" t="n">
        <v>-0.02857600386254362</v>
      </c>
      <c r="H83" s="71" t="n">
        <v>0</v>
      </c>
    </row>
    <row r="84">
      <c r="B84" s="10" t="inlineStr">
        <is>
          <t>Asset finance — loss given default</t>
        </is>
      </c>
      <c r="C84" s="63" t="n">
        <v>0.35</v>
      </c>
      <c r="D84" s="14" t="inlineStr">
        <is>
          <t>%</t>
        </is>
      </c>
      <c r="E84" s="71" t="n">
        <v>-0.02857600386260983</v>
      </c>
      <c r="F84" s="71" t="n">
        <v>0</v>
      </c>
      <c r="G84" s="71" t="n">
        <v>-0.02857600386254362</v>
      </c>
      <c r="H84" s="71" t="n">
        <v>0</v>
      </c>
    </row>
    <row r="85">
      <c r="B85" s="10" t="inlineStr">
        <is>
          <t>Management span (staff per manager)</t>
        </is>
      </c>
      <c r="C85" s="63" t="n">
        <v>8</v>
      </c>
      <c r="D85" s="14" t="inlineStr">
        <is>
          <t>staff</t>
        </is>
      </c>
      <c r="E85" s="71" t="n">
        <v>0.02728475739292511</v>
      </c>
      <c r="F85" s="71" t="n">
        <v>-0.0284847865736678</v>
      </c>
      <c r="G85" s="71" t="n">
        <v>0.02728475739261982</v>
      </c>
      <c r="H85" s="71" t="n">
        <v>0</v>
      </c>
    </row>
    <row r="86">
      <c r="B86" s="10" t="inlineStr">
        <is>
          <t>Team manager — salary</t>
        </is>
      </c>
      <c r="C86" s="63" t="n">
        <v>85000</v>
      </c>
      <c r="D86" s="14" t="inlineStr">
        <is>
          <t>£/yr</t>
        </is>
      </c>
      <c r="E86" s="71" t="n">
        <v>-0.0257511658564655</v>
      </c>
      <c r="F86" s="71" t="n">
        <v>0.02688374512136233</v>
      </c>
      <c r="G86" s="71" t="n">
        <v>-0.02575116585676012</v>
      </c>
      <c r="H86" s="71" t="n">
        <v>0</v>
      </c>
    </row>
    <row r="87">
      <c r="B87" s="10" t="inlineStr">
        <is>
          <t>Annual customer churn (replaced at steady state)</t>
        </is>
      </c>
      <c r="C87" s="63" t="n">
        <v>0.12</v>
      </c>
      <c r="D87" s="14" t="inlineStr">
        <is>
          <t>% p.a.</t>
        </is>
      </c>
      <c r="E87" s="71" t="n">
        <v>-0.02469126258220576</v>
      </c>
      <c r="F87" s="71" t="n">
        <v>0.02577722553153486</v>
      </c>
      <c r="G87" s="71" t="n">
        <v>-0.02469126258230462</v>
      </c>
      <c r="H87" s="71" t="n">
        <v>0</v>
      </c>
    </row>
    <row r="88">
      <c r="B88" s="10" t="inlineStr">
        <is>
          <t>Employment on-costs (NI, pension, benefits)</t>
        </is>
      </c>
      <c r="C88" s="63" t="n">
        <v>0.15</v>
      </c>
      <c r="D88" s="14" t="inlineStr">
        <is>
          <t>% of salary</t>
        </is>
      </c>
      <c r="E88" s="71" t="n">
        <v>-0.02057660219051082</v>
      </c>
      <c r="F88" s="71" t="n">
        <v>0.02148159550679803</v>
      </c>
      <c r="G88" s="71" t="n">
        <v>-0.02057660219063057</v>
      </c>
      <c r="H88" s="71" t="n">
        <v>0</v>
      </c>
    </row>
    <row r="89">
      <c r="B89" s="10" t="inlineStr">
        <is>
          <t>Operational-risk RWA multiple of gross income</t>
        </is>
      </c>
      <c r="C89" s="63" t="n">
        <v>1.875</v>
      </c>
      <c r="D89" s="14" t="inlineStr">
        <is>
          <t>x revenue</t>
        </is>
      </c>
      <c r="E89" s="71" t="n">
        <v>0.01940217969118421</v>
      </c>
      <c r="F89" s="71" t="n">
        <v>-0.009260828777932256</v>
      </c>
      <c r="G89" s="71" t="n">
        <v>-0.1370151321223097</v>
      </c>
      <c r="H89" s="71" t="n">
        <v>0.009261686486871161</v>
      </c>
    </row>
    <row r="90">
      <c r="B90" s="10" t="inlineStr">
        <is>
          <t>Share of lending balances held by RM-managed customers</t>
        </is>
      </c>
      <c r="C90" s="63" t="n">
        <v>0.6</v>
      </c>
      <c r="D90" s="14" t="inlineStr">
        <is>
          <t>%</t>
        </is>
      </c>
      <c r="E90" s="71" t="n">
        <v>0.01833005970171241</v>
      </c>
      <c r="F90" s="71" t="n">
        <v>0</v>
      </c>
      <c r="G90" s="71" t="n">
        <v>0.0183300597013768</v>
      </c>
      <c r="H90" s="71" t="n">
        <v>0</v>
      </c>
    </row>
    <row r="91">
      <c r="B91" s="10" t="inlineStr">
        <is>
          <t>Stewardship effect: relative PD reduction on RM-covered balances</t>
        </is>
      </c>
      <c r="C91" s="63" t="n">
        <v>0.2</v>
      </c>
      <c r="D91" s="14" t="inlineStr">
        <is>
          <t>%</t>
        </is>
      </c>
      <c r="E91" s="71" t="n">
        <v>0.01833005970171241</v>
      </c>
      <c r="F91" s="71" t="n">
        <v>0</v>
      </c>
      <c r="G91" s="71" t="n">
        <v>0.0183300597013768</v>
      </c>
      <c r="H91" s="71" t="n">
        <v>0</v>
      </c>
    </row>
    <row r="92">
      <c r="B92" s="10" t="inlineStr">
        <is>
          <t>Churn replacement — acquisition marketing per new customer won</t>
        </is>
      </c>
      <c r="C92" s="63" t="n">
        <v>240</v>
      </c>
      <c r="D92" s="14" t="inlineStr">
        <is>
          <t>£/new customer</t>
        </is>
      </c>
      <c r="E92" s="71" t="n">
        <v>-0.01826591155990401</v>
      </c>
      <c r="F92" s="71" t="n">
        <v>0.01906927684454543</v>
      </c>
      <c r="G92" s="71" t="n">
        <v>-0.01826591156004862</v>
      </c>
      <c r="H92" s="71" t="n">
        <v>0</v>
      </c>
    </row>
    <row r="93">
      <c r="B93" s="10" t="inlineStr">
        <is>
          <t>Asset finance — risk weight</t>
        </is>
      </c>
      <c r="C93" s="63" t="n">
        <v>0.8</v>
      </c>
      <c r="D93" s="14" t="inlineStr">
        <is>
          <t>%</t>
        </is>
      </c>
      <c r="E93" s="71" t="n">
        <v>0.01771239908840788</v>
      </c>
      <c r="F93" s="71" t="n">
        <v>-0.008454350017280498</v>
      </c>
      <c r="G93" s="71" t="n">
        <v>-0.125099206722287</v>
      </c>
      <c r="H93" s="71" t="n">
        <v>0.008455064837974957</v>
      </c>
    </row>
    <row r="94">
      <c r="B94" s="10" t="inlineStr">
        <is>
          <t>Card — interest rate on revolving balances</t>
        </is>
      </c>
      <c r="C94" s="63" t="n">
        <v>0.159</v>
      </c>
      <c r="D94" s="14" t="inlineStr">
        <is>
          <t>% p.a.</t>
        </is>
      </c>
      <c r="E94" s="71" t="n">
        <v>0.01587050294203331</v>
      </c>
      <c r="F94" s="71" t="n">
        <v>-0.007575256506550518</v>
      </c>
      <c r="G94" s="71" t="n">
        <v>0.01462142272077909</v>
      </c>
      <c r="H94" s="71" t="n">
        <v>0.007575830395216416</v>
      </c>
    </row>
    <row r="95">
      <c r="B95" s="10" t="inlineStr">
        <is>
          <t>Service &amp; operations staff — salary</t>
        </is>
      </c>
      <c r="C95" s="63" t="n">
        <v>32000</v>
      </c>
      <c r="D95" s="14" t="inlineStr">
        <is>
          <t>£/yr</t>
        </is>
      </c>
      <c r="E95" s="71" t="n">
        <v>-0.01564284608034933</v>
      </c>
      <c r="F95" s="71" t="n">
        <v>0.01633084456626305</v>
      </c>
      <c r="G95" s="71" t="n">
        <v>-0.01564284608081514</v>
      </c>
      <c r="H95" s="71" t="n">
        <v>0</v>
      </c>
    </row>
    <row r="96">
      <c r="B96" s="10" t="inlineStr">
        <is>
          <t>Overdraft — probability of default</t>
        </is>
      </c>
      <c r="C96" s="63" t="n">
        <v>0.026</v>
      </c>
      <c r="D96" s="14" t="inlineStr">
        <is>
          <t>% p.a.</t>
        </is>
      </c>
      <c r="E96" s="71" t="n">
        <v>-0.01399299296284985</v>
      </c>
      <c r="F96" s="71" t="n">
        <v>0</v>
      </c>
      <c r="G96" s="71" t="n">
        <v>-0.01399299296281295</v>
      </c>
      <c r="H96" s="71" t="n">
        <v>0</v>
      </c>
    </row>
    <row r="97">
      <c r="B97" s="10" t="inlineStr">
        <is>
          <t>Overdraft — loss given default</t>
        </is>
      </c>
      <c r="C97" s="63" t="n">
        <v>0.55</v>
      </c>
      <c r="D97" s="14" t="inlineStr">
        <is>
          <t>%</t>
        </is>
      </c>
      <c r="E97" s="71" t="n">
        <v>-0.01399299296284985</v>
      </c>
      <c r="F97" s="71" t="n">
        <v>0</v>
      </c>
      <c r="G97" s="71" t="n">
        <v>-0.01399299296281295</v>
      </c>
      <c r="H97" s="71" t="n">
        <v>0</v>
      </c>
    </row>
    <row r="98">
      <c r="B98" s="10" t="inlineStr">
        <is>
          <t>Term loan underwriting &amp; completion</t>
        </is>
      </c>
      <c r="C98" s="63" t="n">
        <v>14</v>
      </c>
      <c r="D98" s="14" t="inlineStr">
        <is>
          <t>hrs/new loan</t>
        </is>
      </c>
      <c r="E98" s="71" t="n">
        <v>-0.01370322847785298</v>
      </c>
      <c r="F98" s="71" t="n">
        <v>0.01430591934339043</v>
      </c>
      <c r="G98" s="71" t="n">
        <v>-0.0137032284779602</v>
      </c>
      <c r="H98" s="71" t="n">
        <v>0</v>
      </c>
    </row>
    <row r="99">
      <c r="B99" s="10" t="inlineStr">
        <is>
          <t>Invoice finance — probability of default</t>
        </is>
      </c>
      <c r="C99" s="63" t="n">
        <v>0.026</v>
      </c>
      <c r="D99" s="14" t="inlineStr">
        <is>
          <t>% p.a.</t>
        </is>
      </c>
      <c r="E99" s="71" t="n">
        <v>-0.01356896287307272</v>
      </c>
      <c r="F99" s="71" t="n">
        <v>0</v>
      </c>
      <c r="G99" s="71" t="n">
        <v>-0.01356896287333288</v>
      </c>
      <c r="H99" s="71" t="n">
        <v>0</v>
      </c>
    </row>
    <row r="100">
      <c r="B100" s="10" t="inlineStr">
        <is>
          <t>Invoice finance — loss given default</t>
        </is>
      </c>
      <c r="C100" s="63" t="n">
        <v>0.2</v>
      </c>
      <c r="D100" s="14" t="inlineStr">
        <is>
          <t>%</t>
        </is>
      </c>
      <c r="E100" s="71" t="n">
        <v>-0.01356896287307272</v>
      </c>
      <c r="F100" s="71" t="n">
        <v>0</v>
      </c>
      <c r="G100" s="71" t="n">
        <v>-0.01356896287333288</v>
      </c>
      <c r="H100" s="71" t="n">
        <v>0</v>
      </c>
    </row>
    <row r="101">
      <c r="B101" s="10" t="inlineStr">
        <is>
          <t>Premises &amp; facilities per unit FTE</t>
        </is>
      </c>
      <c r="C101" s="63" t="n">
        <v>6000</v>
      </c>
      <c r="D101" s="14" t="inlineStr">
        <is>
          <t>£/FTE/yr</t>
        </is>
      </c>
      <c r="E101" s="71" t="n">
        <v>-0.01354829332592148</v>
      </c>
      <c r="F101" s="71" t="n">
        <v>0.01414416988493427</v>
      </c>
      <c r="G101" s="71" t="n">
        <v>-0.01354829332627234</v>
      </c>
      <c r="H101" s="71" t="n">
        <v>0</v>
      </c>
    </row>
    <row r="102">
      <c r="B102" s="10" t="inlineStr">
        <is>
          <t>BCA servicing (queries, payments support)</t>
        </is>
      </c>
      <c r="C102" s="63" t="n">
        <v>0.6</v>
      </c>
      <c r="D102" s="14" t="inlineStr">
        <is>
          <t>hrs/account/yr</t>
        </is>
      </c>
      <c r="E102" s="71" t="n">
        <v>-0.01335137874766737</v>
      </c>
      <c r="F102" s="71" t="n">
        <v>0.01393859467455354</v>
      </c>
      <c r="G102" s="71" t="n">
        <v>-0.01335137874769045</v>
      </c>
      <c r="H102" s="71" t="n">
        <v>0</v>
      </c>
    </row>
    <row r="103">
      <c r="B103" s="10" t="inlineStr">
        <is>
          <t>Overdraft annual review &amp; renewal</t>
        </is>
      </c>
      <c r="C103" s="63" t="n">
        <v>1.5</v>
      </c>
      <c r="D103" s="14" t="inlineStr">
        <is>
          <t>hrs/facility/yr</t>
        </is>
      </c>
      <c r="E103" s="71" t="n">
        <v>-0.01223502542667563</v>
      </c>
      <c r="F103" s="71" t="n">
        <v>0.01277314227084876</v>
      </c>
      <c r="G103" s="71" t="n">
        <v>-0.01223502542703396</v>
      </c>
      <c r="H103" s="71" t="n">
        <v>0</v>
      </c>
    </row>
    <row r="104">
      <c r="B104" s="10" t="inlineStr">
        <is>
          <t>Term loan annual review</t>
        </is>
      </c>
      <c r="C104" s="63" t="n">
        <v>3</v>
      </c>
      <c r="D104" s="14" t="inlineStr">
        <is>
          <t>hrs/loan/yr</t>
        </is>
      </c>
      <c r="E104" s="71" t="n">
        <v>-0.01174562440962334</v>
      </c>
      <c r="F104" s="71" t="n">
        <v>0.01226221658007843</v>
      </c>
      <c r="G104" s="71" t="n">
        <v>-0.01174562440975294</v>
      </c>
      <c r="H104" s="71" t="n">
        <v>0</v>
      </c>
    </row>
    <row r="105">
      <c r="B105" s="10" t="inlineStr">
        <is>
          <t>FSCS deposit-protection levy</t>
        </is>
      </c>
      <c r="C105" s="63" t="n">
        <v>0.0005999999999999999</v>
      </c>
      <c r="D105" s="14" t="inlineStr">
        <is>
          <t>% of protected deposits</t>
        </is>
      </c>
      <c r="E105" s="71" t="n">
        <v>-0.009785309764238673</v>
      </c>
      <c r="F105" s="71" t="n">
        <v>0.01021568402375696</v>
      </c>
      <c r="G105" s="71" t="n">
        <v>-0.009785309764105748</v>
      </c>
      <c r="H105" s="71" t="n">
        <v>0</v>
      </c>
    </row>
    <row r="106">
      <c r="B106" s="10" t="inlineStr">
        <is>
          <t>Share of deposit balances that are FSCS-protected</t>
        </is>
      </c>
      <c r="C106" s="63" t="n">
        <v>0.6</v>
      </c>
      <c r="D106" s="14" t="inlineStr">
        <is>
          <t>%</t>
        </is>
      </c>
      <c r="E106" s="71" t="n">
        <v>-0.009785309764238673</v>
      </c>
      <c r="F106" s="71" t="n">
        <v>0.01021568402375696</v>
      </c>
      <c r="G106" s="71" t="n">
        <v>-0.009785309764105748</v>
      </c>
      <c r="H106" s="71" t="n">
        <v>0</v>
      </c>
    </row>
    <row r="107">
      <c r="B107" s="10" t="inlineStr">
        <is>
          <t>Invoice finance — risk weight</t>
        </is>
      </c>
      <c r="C107" s="63" t="n">
        <v>0.6</v>
      </c>
      <c r="D107" s="14" t="inlineStr">
        <is>
          <t>%</t>
        </is>
      </c>
      <c r="E107" s="71" t="n">
        <v>0.009340522956773279</v>
      </c>
      <c r="F107" s="71" t="n">
        <v>-0.00445852680457372</v>
      </c>
      <c r="G107" s="71" t="n">
        <v>-0.06601483744602295</v>
      </c>
      <c r="H107" s="71" t="n">
        <v>0.004458725598148796</v>
      </c>
    </row>
    <row r="108">
      <c r="B108" s="10" t="inlineStr">
        <is>
          <t>Overdraft — risk weight</t>
        </is>
      </c>
      <c r="C108" s="63" t="n">
        <v>0.75</v>
      </c>
      <c r="D108" s="14" t="inlineStr">
        <is>
          <t>% of drawn</t>
        </is>
      </c>
      <c r="E108" s="71" t="n">
        <v>0.004378370135987474</v>
      </c>
      <c r="F108" s="71" t="n">
        <v>-0.002089983942857775</v>
      </c>
      <c r="G108" s="71" t="n">
        <v>-0.03095684670595658</v>
      </c>
      <c r="H108" s="71" t="n">
        <v>0.002090027624132248</v>
      </c>
    </row>
    <row r="109">
      <c r="B109" s="10" t="inlineStr">
        <is>
          <t>Tax rate (corporation tax + bank surcharge)</t>
        </is>
      </c>
      <c r="C109" s="63" t="n">
        <v>0.28</v>
      </c>
      <c r="D109" s="14" t="inlineStr">
        <is>
          <t>%</t>
        </is>
      </c>
      <c r="E109" s="71" t="n">
        <v>0</v>
      </c>
      <c r="F109" s="71" t="n">
        <v>0</v>
      </c>
      <c r="G109" s="71" t="n">
        <v>-0.388888888889195</v>
      </c>
      <c r="H109"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31"/>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2"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2" t="n">
        <v>0.1446567738048832</v>
      </c>
      <c r="F7" s="5" t="inlineStr">
        <is>
          <t>The cost engine fails, and by an order of magnitude. This is the finding.</t>
        </is>
      </c>
    </row>
    <row r="8" ht="30" customHeight="1">
      <c r="B8" s="42" t="inlineStr">
        <is>
          <t>Profit before tax</t>
        </is>
      </c>
      <c r="C8" s="46" t="n">
        <v>76640314</v>
      </c>
      <c r="D8" s="46" t="n">
        <v>16091000</v>
      </c>
      <c r="E8" s="72" t="n">
        <v>4.762930458020011</v>
      </c>
      <c r="F8" s="5" t="inlineStr">
        <is>
          <t>Follows the cost failure, not an independent error.</t>
        </is>
      </c>
    </row>
    <row r="9" ht="30" customHeight="1">
      <c r="B9" s="42" t="inlineStr">
        <is>
          <t>Operating-unit FTE</t>
        </is>
      </c>
      <c r="C9" s="44" t="n">
        <v>45</v>
      </c>
      <c r="D9" s="44" t="n">
        <v>496</v>
      </c>
      <c r="E9" s="72"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2"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c r="B19" s="7" t="inlineStr">
        <is>
          <t>OUT-OF-SAMPLE — CALIBRATE ON 2022-23, PREDICT 2024</t>
        </is>
      </c>
      <c r="C19" s="8" t="inlineStr"/>
      <c r="D19" s="8" t="inlineStr"/>
      <c r="E19" s="8" t="inlineStr"/>
      <c r="F19" s="8" t="inlineStr"/>
    </row>
    <row r="20" ht="28" customHeight="1">
      <c r="B20" s="5" t="inlineStr">
        <is>
          <t>Fitting a model to the data it was calibrated on proves nothing. The cost structure below was calibrated on two published years and then used to predict a third it never saw. Harness: backtest_allica_oos.py.</t>
        </is>
      </c>
    </row>
    <row r="21">
      <c r="B21" s="45" t="inlineStr">
        <is>
          <t>Year</t>
        </is>
      </c>
      <c r="C21" s="45" t="inlineStr">
        <is>
          <t>Lending book</t>
        </is>
      </c>
      <c r="D21" s="45" t="inlineStr">
        <is>
          <t>Operating cost</t>
        </is>
      </c>
      <c r="E21" s="45" t="inlineStr">
        <is>
          <t>Cost / book</t>
        </is>
      </c>
      <c r="F21" s="45" t="inlineStr">
        <is>
          <t>Elasticity vs prior year</t>
        </is>
      </c>
    </row>
    <row r="22">
      <c r="B22" s="42" t="n">
        <v>2022</v>
      </c>
      <c r="C22" s="46" t="n">
        <v>1348166000</v>
      </c>
      <c r="D22" s="46" t="n">
        <v>41426000</v>
      </c>
      <c r="E22" s="48" t="n">
        <v>0.03072767003469899</v>
      </c>
      <c r="F22" s="63" t="inlineStr">
        <is>
          <t>—</t>
        </is>
      </c>
    </row>
    <row r="23">
      <c r="B23" s="42" t="n">
        <v>2023</v>
      </c>
      <c r="C23" s="46" t="n">
        <v>1976826000</v>
      </c>
      <c r="D23" s="46" t="n">
        <v>56438000</v>
      </c>
      <c r="E23" s="48" t="n">
        <v>0.02854980660918057</v>
      </c>
      <c r="F23" s="63" t="n">
        <v>0.8080000000000001</v>
      </c>
    </row>
    <row r="24">
      <c r="B24" s="42" t="n">
        <v>2024</v>
      </c>
      <c r="C24" s="46" t="n">
        <v>3000000000</v>
      </c>
      <c r="D24" s="46" t="n">
        <v>73148000</v>
      </c>
      <c r="E24" s="48" t="n">
        <v>0.02438266666666667</v>
      </c>
      <c r="F24" s="63" t="n">
        <v>0.622</v>
      </c>
    </row>
    <row r="25">
      <c r="B25" s="5" t="inlineStr">
        <is>
          <t>2024 operating cost is implied — income less impairment less the published profit before tax.</t>
        </is>
      </c>
    </row>
    <row r="26" ht="26" customHeight="1">
      <c r="B26" s="42" t="inlineStr">
        <is>
          <t>Predicted 2024 profit before tax</t>
        </is>
      </c>
      <c r="C26" s="46" t="n">
        <v>23993000</v>
      </c>
      <c r="F26" s="5" t="inlineStr">
        <is>
          <t>cost carried forward at the 0.808 elasticity measured on 2022-23</t>
        </is>
      </c>
    </row>
    <row r="27" ht="26" customHeight="1">
      <c r="B27" s="42" t="inlineStr">
        <is>
          <t>Actual 2024 profit before tax</t>
        </is>
      </c>
      <c r="C27" s="46" t="n">
        <v>29900000</v>
      </c>
      <c r="F27" s="5" t="inlineStr">
        <is>
          <t>published</t>
        </is>
      </c>
    </row>
    <row r="28" ht="26" customHeight="1">
      <c r="B28" s="42" t="inlineStr">
        <is>
          <t>Error</t>
        </is>
      </c>
      <c r="C28" s="48" t="n">
        <v>-0.198</v>
      </c>
      <c r="F28" s="5" t="inlineStr">
        <is>
          <t>under-predicts, because leverage steepened to 0.622 — efficiency improved faster than the prior year could have told you</t>
        </is>
      </c>
    </row>
    <row r="29" ht="30" customHeight="1">
      <c r="B29" s="5" t="inlineStr">
        <is>
          <t>A structural model calibrated on two years of accounts predicted the third to within 20% on profit — the residual of three larger numbers, and the hardest line to get right. Three data points and one bank: directional evidence about structure, not a validated forecast.</t>
        </is>
      </c>
    </row>
    <row r="31" ht="40" customHeight="1">
      <c r="B31"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2026-08-22T15:04:28Z</dcterms:created>
  <dcterms:modified xmlns:dcterms="http://purl.org/dc/terms/" xmlns:xsi="http://www.w3.org/2001/XMLSchema-instance" xsi:type="dcterms:W3CDTF">2026-08-22T15:04:28Z</dcterms:modified>
</cp:coreProperties>
</file>