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 xmlns:r="http://schemas.openxmlformats.org/officeDocument/2006/relationships" name="12. Trajectory" sheetId="16" state="visible" r:id="rId16"/>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2"/>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v2.0 · 22 August 2026 — check github.com/tmth-studio/sme-bank-models for the latest; the version history below tells you what changed since your download.</t>
        </is>
      </c>
    </row>
    <row r="4">
      <c r="B4" s="3" t="inlineStr">
        <is>
          <t>Version history</t>
        </is>
      </c>
    </row>
    <row r="5" ht="52" customHeight="1">
      <c r="B5" s="4" t="inlineStr">
        <is>
          <t>• v2.0 (22 Aug 2026) — trajectory. Every other tab describes a steady state; tab 12 describes getting there. Time stays OUT of the base model deliberately — the steady-state identities are what let the whole chain work without a forecast — so the trajectory runs the same model at a series of maturity states and reads the result as a cash flow. Building one regional centre from nothing needs £8.3m of funding at its deepest point, repays in year seven, and has an NPV at the model's own 12% cost of equity of about MINUS £106,000. The snapshot alone reports only the final year and calls the business comfortably good. Both are true: a profitable steady state is not the same thing as a worthwhile investment.</t>
        </is>
      </c>
    </row>
    <row r="6" ht="52" customHeight="1">
      <c r="B6" s="4" t="inlineStr">
        <is>
          <t>• v1.9 (22 Aug 2026) — competitive response. Every scenario assumed rivals stand still, which flatters both directions at once: raising a price looks safer than it is, and cutting one looks better than it is. A firm with market share s moving alone faces roughly the industry elasticity divided by s; moving in concert it faces only the industry elasticity. This model's penetration IS market share (16%), so moving alone multiplies the demand response by 6.25x. Tab 10 now inverts every break-even into the industry elasticity the move survives in each regime. The headline lever moves with it: raising the term loan rate survives an industry elasticity of 2.91 in concert but only 0.47 alone — marginal rather than comfortable.</t>
        </is>
      </c>
    </row>
    <row r="7" ht="52" customHeight="1">
      <c r="B7"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8" ht="52" customHeight="1">
      <c r="B8"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9" ht="52" customHeight="1">
      <c r="B9"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10" ht="52" customHeight="1">
      <c r="B10"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11" ht="52" customHeight="1">
      <c r="B11"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2" ht="40" customHeight="1">
      <c r="B12"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3" ht="28" customHeight="1">
      <c r="B13" s="4" t="inlineStr">
        <is>
          <t>• v1.2.1 (21 Aug 2026) — documentation only: added 'What period this models' to this Guide (steady-state annual snapshot, stationary book, churn replacement costed, transitions out of scope). No formula or input changes — results identical to v1.2.</t>
        </is>
      </c>
    </row>
    <row r="14" ht="28" customHeight="1">
      <c r="B14"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5" ht="28" customHeight="1">
      <c r="B15"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6" ht="28" customHeight="1">
      <c r="B16" s="4" t="inlineStr">
        <is>
          <t>• v1.0 (10 Aug 2026) — first published version: 9 tabs + flow register, FTP with liquidity/behavioural terms, fraud/FSCS/change-the-bank lines, segment-pod LMUs, bridge check.</t>
        </is>
      </c>
    </row>
    <row r="18">
      <c r="B18" s="3" t="inlineStr">
        <is>
          <t>What this is</t>
        </is>
      </c>
    </row>
    <row r="19" ht="39" customHeight="1">
      <c r="B19"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20" ht="39" customHeight="1">
      <c r="B20"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2">
      <c r="B22" s="3" t="inlineStr">
        <is>
          <t>What period this models</t>
        </is>
      </c>
    </row>
    <row r="23" ht="26" customHeight="1">
      <c r="B23" s="4" t="inlineStr">
        <is>
          <t>• One representative operating year at steady state. Balances are annual averages; rates and volumes are annual. There is no time axis, no ramp and no vintage cohorts — the model is a snapshot, not a forecast.</t>
        </is>
      </c>
    </row>
    <row r="24" ht="78" customHeight="1">
      <c r="B24"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5" ht="26" customHeight="1">
      <c r="B25" s="4" t="inlineStr">
        <is>
          <t>• The capital charge (cost of equity on allocated capital) is the incumbent analogue of Simanis's start-up-cost amortisation: capital earns its required return inside the steady-state P&amp;L.</t>
        </is>
      </c>
    </row>
    <row r="26" ht="52" customHeight="1">
      <c r="B26"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28">
      <c r="B28" s="3" t="inlineStr">
        <is>
          <t>How the tabs map to the methodology</t>
        </is>
      </c>
    </row>
    <row r="29" ht="24" customHeight="1">
      <c r="B29" s="4" t="inlineStr">
        <is>
          <t>• Inputs — every assumption in one place, with sources. Edit blue cells; yellow cells are the biggest levers.</t>
        </is>
      </c>
    </row>
    <row r="30" ht="26" customHeight="1">
      <c r="B30" s="4" t="inlineStr">
        <is>
          <t>• 1. Customers — Step 1: bound the operating unit. Reachable market (R) × penetration (P) → customers → product volumes and balances.</t>
        </is>
      </c>
    </row>
    <row r="31" ht="26" customHeight="1">
      <c r="B31" s="4" t="inlineStr">
        <is>
          <t>• 2. Revenues — unit revenue per product: interest margins measured against internal funds transfer prices (Bank Rate for floating, + premium for term), plus fees.</t>
        </is>
      </c>
    </row>
    <row r="32" ht="39" customHeight="1">
      <c r="B32" s="4" t="inlineStr">
        <is>
          <t>• 3. HR &amp; Activity — Step 2: every FTE derived from activity drivers (hours per onboarding, review, renewal…) — nothing is assumed as headcount. From v1.5 this tab is also the PROCESS REGISTER (columns M-T), with the head-office process register below it.</t>
        </is>
      </c>
    </row>
    <row r="33" ht="26" customHeight="1">
      <c r="B33" s="4" t="inlineStr">
        <is>
          <t>• 1b. Demand &amp; CEPs — the demand layer (v1.4). Penetration is derived, not assumed. Mode cell on Inputs section L: OFF reproduces v1.3, CALIBRATE reports the implied event rates, LIVE derives.</t>
        </is>
      </c>
    </row>
    <row r="34" ht="26" customHeight="1">
      <c r="B34" s="4" t="inlineStr">
        <is>
          <t>• 12. Trajectory — the ramp from nothing to steady state: cash flow, peak funding, payback and NPV. Time lives here and nowhere else, as a wrapper around the snapshot rather than inside it.</t>
        </is>
      </c>
    </row>
    <row r="35" ht="39" customHeight="1">
      <c r="B35"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6" ht="52" customHeight="1">
      <c r="B36"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37" ht="26" customHeight="1">
      <c r="B37" s="4" t="inlineStr">
        <is>
          <t>• 5. Risk &amp; Capital — Step 3: expected credit losses (PD × LGD), risk-weighted assets, allocated equity, and the required return on it.</t>
        </is>
      </c>
    </row>
    <row r="38" ht="91" customHeight="1">
      <c r="B38"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39" ht="26" customHeight="1">
      <c r="B39" s="4" t="inlineStr">
        <is>
          <t>• 7. P&amp;L — the whole-cost P&amp;L of the operating unit at steady state, key ratios vs industry benchmarks, and the Simanis cost-driver table.</t>
        </is>
      </c>
    </row>
    <row r="40" ht="26" customHeight="1">
      <c r="B40" s="4" t="inlineStr">
        <is>
          <t>• 8. Org Structure — the whole-bank organisation implied by the model: front-line FTEs from activity drivers × number of centres, head-office FTEs backed out of the per-customer head-office cost allocations.</t>
        </is>
      </c>
    </row>
    <row r="41" ht="52" customHeight="1">
      <c r="B41"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3">
      <c r="B43" s="3" t="inlineStr">
        <is>
          <t>Colour legend</t>
        </is>
      </c>
    </row>
    <row r="44" ht="26" customHeight="1">
      <c r="B44" s="4" t="inlineStr">
        <is>
          <t>• Blue = hardcoded input (edit these) · Yellow fill = key assumption / sensitivity lever · Black = formula · Green = link to another sheet.</t>
        </is>
      </c>
    </row>
    <row r="46">
      <c r="B46" s="3" t="inlineStr">
        <is>
          <t>Reading the results</t>
        </is>
      </c>
    </row>
    <row r="47" ht="52" customHeight="1">
      <c r="B47"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48" ht="39" customHeight="1">
      <c r="B48"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50">
      <c r="B50" s="3" t="inlineStr">
        <is>
          <t>Caveats</t>
        </is>
      </c>
    </row>
    <row r="51" ht="39" customHeight="1">
      <c r="B51" s="4" t="inlineStr">
        <is>
          <t>• Benchmarks are as of August 2026 (Bank Rate 3.75%; BoE effective new SME loan rate ~6.3%; commercial interchange 1.65–1.90%; invoice finance discount base+1–3%). Items marked 'Assumption' are illustrative and should be replaced with your own data.</t>
        </is>
      </c>
    </row>
    <row r="52" ht="65" customHeight="1">
      <c r="B52"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17" t="n">
        <v>0.03</v>
      </c>
      <c r="D45" s="18" t="n">
        <v>0.03</v>
      </c>
      <c r="E45" s="18" t="n">
        <v>0.03</v>
      </c>
      <c r="F45" s="19">
        <f>CHOOSE('Inputs'!$C$4,D45,C45,E45)</f>
        <v/>
      </c>
      <c r="G45" s="14" t="inlineStr">
        <is>
          <t>%</t>
        </is>
      </c>
      <c r="H45" s="5" t="inlineStr">
        <is>
          <t>Assumption</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12"/>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£4,552,743 · cost:income 45.7% · RoE 21.8%</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ht="58" customHeight="1">
      <c r="B9" s="5" t="inlineStr">
        <is>
          <t>Break-even is of the EFFECTIVE elasticity the bank faces. What the bank faces depends on whether rivals follow. A firm with market share s that moves alone faces roughly e_industry / s, because customers can go next door; if the whole industry moves together it faces only e_industry. This model's penetration IS market share — 16% of the national SME market — so moving alone multiplies the demand response by 1/s. The last two columns invert the break-even into the INDUSTRY elasticity each move survives, in each regime.</t>
        </is>
      </c>
    </row>
    <row r="10" ht="42" customHeight="1">
      <c r="B10" s="45" t="inlineStr">
        <is>
          <t>Price</t>
        </is>
      </c>
      <c r="C10" s="45" t="inlineStr">
        <is>
          <t>e(PBT), no response</t>
        </is>
      </c>
      <c r="D10" s="45" t="inlineStr">
        <is>
          <t>Break-even (effective)</t>
        </is>
      </c>
      <c r="E10" s="45" t="inlineStr">
        <is>
          <t>Survives industry e up to — MOVING ALONE</t>
        </is>
      </c>
      <c r="F10" s="45" t="inlineStr">
        <is>
          <t>Survives industry e up to — IN CONCERT</t>
        </is>
      </c>
      <c r="G10" s="45" t="inlineStr">
        <is>
          <t>Reading</t>
        </is>
      </c>
    </row>
    <row r="11">
      <c r="B11" s="10" t="inlineStr">
        <is>
          <t>Card — annual card fee</t>
        </is>
      </c>
      <c r="C11" s="71" t="n">
        <v>0.006388126970350395</v>
      </c>
      <c r="D11" s="63" t="n">
        <v>0.05544003490987621</v>
      </c>
      <c r="E11" s="63">
        <f>D11*'Inputs'!$F$22</f>
        <v/>
      </c>
      <c r="F11" s="63">
        <f>D11</f>
        <v/>
      </c>
      <c r="G11" s="14" t="inlineStr">
        <is>
          <t>fragile — only a near-inert customer makes this pay</t>
        </is>
      </c>
    </row>
    <row r="12">
      <c r="B12" s="10" t="inlineStr">
        <is>
          <t>BCA — monthly account fee</t>
        </is>
      </c>
      <c r="C12" s="71" t="n">
        <v>0.06787384905974791</v>
      </c>
      <c r="D12" s="63" t="n">
        <v>0.1275035819127078</v>
      </c>
      <c r="E12" s="63">
        <f>D12*'Inputs'!$F$22</f>
        <v/>
      </c>
      <c r="F12" s="63">
        <f>D12</f>
        <v/>
      </c>
      <c r="G12" s="14" t="inlineStr">
        <is>
          <t>fragile — only a near-inert customer makes this pay</t>
        </is>
      </c>
    </row>
    <row r="13">
      <c r="B13" s="10" t="inlineStr">
        <is>
          <t>Card — interest rate on revolving balances</t>
        </is>
      </c>
      <c r="C13" s="71" t="n">
        <v>0.01587050294191057</v>
      </c>
      <c r="D13" s="63" t="n">
        <v>0.1376205835187992</v>
      </c>
      <c r="E13" s="63">
        <f>D13*'Inputs'!$F$22</f>
        <v/>
      </c>
      <c r="F13" s="63">
        <f>D13</f>
        <v/>
      </c>
      <c r="G13" s="14" t="inlineStr">
        <is>
          <t>fragile — only a near-inert customer makes this pay</t>
        </is>
      </c>
    </row>
    <row r="14">
      <c r="B14" s="10" t="inlineStr">
        <is>
          <t>Term loans — arrangement fee</t>
        </is>
      </c>
      <c r="C14" s="71" t="n">
        <v>0.07486086293356356</v>
      </c>
      <c r="D14" s="63" t="n">
        <v>0.1792828253338209</v>
      </c>
      <c r="E14" s="63">
        <f>D14*'Inputs'!$F$22</f>
        <v/>
      </c>
      <c r="F14" s="63">
        <f>D14</f>
        <v/>
      </c>
      <c r="G14" s="14" t="inlineStr">
        <is>
          <t>fragile — only a near-inert customer makes this pay</t>
        </is>
      </c>
    </row>
    <row r="15">
      <c r="B15" s="10" t="inlineStr">
        <is>
          <t>Invoice finance — discount margin over base</t>
        </is>
      </c>
      <c r="C15" s="71" t="n">
        <v>0.07486086293356356</v>
      </c>
      <c r="D15" s="63" t="n">
        <v>0.2515282418779798</v>
      </c>
      <c r="E15" s="63">
        <f>D15*'Inputs'!$F$22</f>
        <v/>
      </c>
      <c r="F15" s="63">
        <f>D15</f>
        <v/>
      </c>
      <c r="G15" s="14" t="inlineStr">
        <is>
          <t>fragile — only a near-inert customer makes this pay</t>
        </is>
      </c>
    </row>
    <row r="16">
      <c r="B16" s="10" t="inlineStr">
        <is>
          <t>International payment fee</t>
        </is>
      </c>
      <c r="C16" s="71" t="n">
        <v>0.06987013873799264</v>
      </c>
      <c r="D16" s="63" t="n">
        <v>0.4122296676035196</v>
      </c>
      <c r="E16" s="63">
        <f>D16*'Inputs'!$F$22</f>
        <v/>
      </c>
      <c r="F16" s="63">
        <f>D16</f>
        <v/>
      </c>
      <c r="G16" s="14" t="inlineStr">
        <is>
          <t>fragile — only a near-inert customer makes this pay</t>
        </is>
      </c>
    </row>
    <row r="17">
      <c r="B17" s="10" t="inlineStr">
        <is>
          <t>Overdraft — annual arrangement/renewal fee</t>
        </is>
      </c>
      <c r="C17" s="71" t="n">
        <v>0.03743043146678178</v>
      </c>
      <c r="D17" s="63" t="n">
        <v>0.4581530737163218</v>
      </c>
      <c r="E17" s="63">
        <f>D17*'Inputs'!$F$22</f>
        <v/>
      </c>
      <c r="F17" s="63">
        <f>D17</f>
        <v/>
      </c>
      <c r="G17" s="14" t="inlineStr">
        <is>
          <t>fragile — only a near-inert customer makes this pay</t>
        </is>
      </c>
    </row>
    <row r="18">
      <c r="B18" s="10" t="inlineStr">
        <is>
          <t>FX — margin on conversion volume</t>
        </is>
      </c>
      <c r="C18" s="71" t="n">
        <v>0.09981448391141808</v>
      </c>
      <c r="D18" s="63" t="n">
        <v>0.5878609520414249</v>
      </c>
      <c r="E18" s="63">
        <f>D18*'Inputs'!$F$22</f>
        <v/>
      </c>
      <c r="F18" s="63">
        <f>D18</f>
        <v/>
      </c>
      <c r="G18" s="14" t="inlineStr">
        <is>
          <t>modest — a mildly responsive customer cancels it</t>
        </is>
      </c>
    </row>
    <row r="19">
      <c r="B19" s="10" t="inlineStr">
        <is>
          <t>Invoice finance — service fee</t>
        </is>
      </c>
      <c r="C19" s="71" t="n">
        <v>0.2395547613874034</v>
      </c>
      <c r="D19" s="63" t="n">
        <v>0.8004609263604965</v>
      </c>
      <c r="E19" s="63">
        <f>D19*'Inputs'!$F$22</f>
        <v/>
      </c>
      <c r="F19" s="63">
        <f>D19</f>
        <v/>
      </c>
      <c r="G19" s="14" t="inlineStr">
        <is>
          <t>modest — a mildly responsive customer cancels it</t>
        </is>
      </c>
    </row>
    <row r="20">
      <c r="B20" s="10" t="inlineStr">
        <is>
          <t>Overdraft — interest rate (EAR)</t>
        </is>
      </c>
      <c r="C20" s="71" t="n">
        <v>0.1094840120403367</v>
      </c>
      <c r="D20" s="63" t="n">
        <v>1.328382145135671</v>
      </c>
      <c r="E20" s="63">
        <f>D20*'Inputs'!$F$22</f>
        <v/>
      </c>
      <c r="F20" s="63">
        <f>D20</f>
        <v/>
      </c>
      <c r="G20" s="14" t="inlineStr">
        <is>
          <t>modest — a mildly responsive customer cancels it</t>
        </is>
      </c>
    </row>
    <row r="21">
      <c r="B21" s="10" t="inlineStr">
        <is>
          <t>Asset finance — customer yield</t>
        </is>
      </c>
      <c r="C21" s="71" t="n">
        <v>0.3619938616520844</v>
      </c>
      <c r="D21" s="63" t="n">
        <v>2.229914972398844</v>
      </c>
      <c r="E21" s="63">
        <f>D21*'Inputs'!$F$22</f>
        <v/>
      </c>
      <c r="F21" s="63">
        <f>D21</f>
        <v/>
      </c>
      <c r="G21" s="14" t="inlineStr">
        <is>
          <t>robust — needs a strongly responsive customer to destroy value</t>
        </is>
      </c>
    </row>
    <row r="22">
      <c r="B22" s="10" t="inlineStr">
        <is>
          <t>Term loans — customer rate</t>
        </is>
      </c>
      <c r="C22" s="71" t="n">
        <v>1.247681048892726</v>
      </c>
      <c r="D22" s="63" t="n">
        <v>2.906412804688113</v>
      </c>
      <c r="E22" s="63">
        <f>D22*'Inputs'!$F$22</f>
        <v/>
      </c>
      <c r="F22" s="63">
        <f>D22</f>
        <v/>
      </c>
      <c r="G22" s="14" t="inlineStr">
        <is>
          <t>robust — needs a strongly responsive customer to destroy value</t>
        </is>
      </c>
    </row>
    <row r="23">
      <c r="B23" s="10" t="inlineStr">
        <is>
          <t>Instant-access savings — rate paid</t>
        </is>
      </c>
      <c r="C23" s="71" t="n">
        <v>0.2635102375261355</v>
      </c>
      <c r="D23" s="63" t="n">
        <v>4.257749912948078</v>
      </c>
      <c r="E23" s="63">
        <f>D23*'Inputs'!$F$22</f>
        <v/>
      </c>
      <c r="F23" s="63">
        <f>D23</f>
        <v/>
      </c>
      <c r="G23" s="14" t="inlineStr">
        <is>
          <t>robust — needs a strongly responsive customer to destroy value</t>
        </is>
      </c>
    </row>
    <row r="24">
      <c r="B24" s="10" t="inlineStr">
        <is>
          <t>Notice &amp; fixed deposits — rate paid</t>
        </is>
      </c>
      <c r="C24" s="71" t="n">
        <v>0.3069295380276106</v>
      </c>
      <c r="D24" s="63" t="n">
        <v>42.5163639198051</v>
      </c>
      <c r="E24" s="63">
        <f>D24*'Inputs'!$F$22</f>
        <v/>
      </c>
      <c r="F24" s="63">
        <f>D24</f>
        <v/>
      </c>
      <c r="G24" s="14" t="inlineStr">
        <is>
          <t>robust — needs a strongly responsive customer to destroy value</t>
        </is>
      </c>
    </row>
    <row r="26" ht="62" customHeight="1">
      <c r="B26" s="5" t="inlineStr">
        <is>
          <t>A cut is the mirror image: cut alone and share moves, so the cut can pay; cut and get matched and volume responds only at the industry elasticity, because nobody's relative price changed — you keep your share and give away the margin. For the term loan rate the band between 0.47 and 2.91 is where the answer depends entirely on whether rivals follow. The same move creates value in one regime and destroys it in the other, and no amount of internal analysis resolves that. SME banking is concentrated with observable prices, which is the textbook setting for high match rates: the prior should be that rivals follow.</t>
        </is>
      </c>
    </row>
    <row r="28">
      <c r="B28" s="45" t="inlineStr">
        <is>
          <t>Input</t>
        </is>
      </c>
      <c r="C28" s="45" t="inlineStr">
        <is>
          <t>Value</t>
        </is>
      </c>
      <c r="D28" s="45" t="inlineStr">
        <is>
          <t>Unit</t>
        </is>
      </c>
      <c r="E28" s="45" t="inlineStr">
        <is>
          <t>e(PBT)</t>
        </is>
      </c>
      <c r="F28" s="45" t="inlineStr">
        <is>
          <t>e(Cost:income)</t>
        </is>
      </c>
      <c r="G28" s="45" t="inlineStr">
        <is>
          <t>e(RoE)</t>
        </is>
      </c>
      <c r="H28" s="45" t="inlineStr">
        <is>
          <t>e(Income)</t>
        </is>
      </c>
    </row>
    <row r="29">
      <c r="B29" s="10" t="inlineStr">
        <is>
          <t>Term loans — customer rate</t>
        </is>
      </c>
      <c r="C29" s="63" t="n">
        <v>0.0625</v>
      </c>
      <c r="D29" s="14" t="inlineStr">
        <is>
          <t>% p.a.</t>
        </is>
      </c>
      <c r="E29" s="71" t="n">
        <v>1.247681048892727</v>
      </c>
      <c r="F29" s="71" t="n">
        <v>-0.5920579472668667</v>
      </c>
      <c r="G29" s="71" t="n">
        <v>1.148369761396499</v>
      </c>
      <c r="H29" s="71" t="n">
        <v>0.5955841505629065</v>
      </c>
    </row>
    <row r="30">
      <c r="B30" s="10" t="inlineStr">
        <is>
          <t>Reachable SMEs in region (R)</t>
        </is>
      </c>
      <c r="C30" s="63" t="n">
        <v>18750</v>
      </c>
      <c r="D30" s="14" t="inlineStr">
        <is>
          <t>businesses</t>
        </is>
      </c>
      <c r="E30" s="71" t="n">
        <v>1.00000000000003</v>
      </c>
      <c r="F30" s="71" t="n">
        <v>0</v>
      </c>
      <c r="G30" s="71" t="n">
        <v>0</v>
      </c>
      <c r="H30" s="71" t="n">
        <v>1.00000000000002</v>
      </c>
    </row>
    <row r="31">
      <c r="B31" s="10" t="inlineStr">
        <is>
          <t>Steady-state penetration (P)</t>
        </is>
      </c>
      <c r="C31" s="63" t="n">
        <v>0.16</v>
      </c>
      <c r="D31" s="14" t="inlineStr">
        <is>
          <t>% of reachable</t>
        </is>
      </c>
      <c r="E31" s="71" t="n">
        <v>1.00000000000003</v>
      </c>
      <c r="F31" s="71" t="n">
        <v>0</v>
      </c>
      <c r="G31" s="71" t="n">
        <v>0</v>
      </c>
      <c r="H31" s="71" t="n">
        <v>1.00000000000002</v>
      </c>
    </row>
    <row r="32">
      <c r="B32" s="10" t="inlineStr">
        <is>
          <t>Business current account — penetration</t>
        </is>
      </c>
      <c r="C32" s="63" t="n">
        <v>1</v>
      </c>
      <c r="D32" s="14" t="inlineStr">
        <is>
          <t>% of customers</t>
        </is>
      </c>
      <c r="E32" s="71" t="n">
        <v>0.5316502207558557</v>
      </c>
      <c r="F32" s="71" t="n">
        <v>-0.2263724971407025</v>
      </c>
      <c r="G32" s="71" t="n">
        <v>0.4858715994436417</v>
      </c>
      <c r="H32" s="71" t="n">
        <v>0.2763510458611886</v>
      </c>
    </row>
    <row r="33">
      <c r="B33" s="10" t="inlineStr">
        <is>
          <t>Term loans — average balance</t>
        </is>
      </c>
      <c r="C33" s="63" t="n">
        <v>250000</v>
      </c>
      <c r="D33" s="14" t="inlineStr">
        <is>
          <t>£/loan</t>
        </is>
      </c>
      <c r="E33" s="71" t="n">
        <v>0.4485219355690576</v>
      </c>
      <c r="F33" s="71" t="n">
        <v>-0.2508408142510311</v>
      </c>
      <c r="G33" s="71" t="n">
        <v>-0.172627245775743</v>
      </c>
      <c r="H33" s="71" t="n">
        <v>0.2514716076793886</v>
      </c>
    </row>
    <row r="34">
      <c r="B34" s="10" t="inlineStr">
        <is>
          <t>BCA — average credit balance</t>
        </is>
      </c>
      <c r="C34" s="63" t="n">
        <v>18000</v>
      </c>
      <c r="D34" s="14" t="inlineStr">
        <is>
          <t>£/account</t>
        </is>
      </c>
      <c r="E34" s="71" t="n">
        <v>0.4269286171458919</v>
      </c>
      <c r="F34" s="71" t="n">
        <v>-0.2009624805300439</v>
      </c>
      <c r="G34" s="71" t="n">
        <v>0.3928629971036865</v>
      </c>
      <c r="H34" s="71" t="n">
        <v>0.2058338824345483</v>
      </c>
    </row>
    <row r="35">
      <c r="B35" s="10" t="inlineStr">
        <is>
          <t>Term loans / commercial mortgages — penetration</t>
        </is>
      </c>
      <c r="C35" s="63" t="n">
        <v>0.12</v>
      </c>
      <c r="D35" s="14" t="inlineStr">
        <is>
          <t>%</t>
        </is>
      </c>
      <c r="E35" s="71" t="n">
        <v>0.4168087496628946</v>
      </c>
      <c r="F35" s="71" t="n">
        <v>-0.2178158778235073</v>
      </c>
      <c r="G35" s="71" t="n">
        <v>-0.2041443250685729</v>
      </c>
      <c r="H35" s="71" t="n">
        <v>0.2514716076793886</v>
      </c>
    </row>
    <row r="36">
      <c r="B36" s="10" t="inlineStr">
        <is>
          <t>Asset finance — customer yield</t>
        </is>
      </c>
      <c r="C36" s="63" t="n">
        <v>0.08500000000000001</v>
      </c>
      <c r="D36" s="14" t="inlineStr">
        <is>
          <t>% p.a.</t>
        </is>
      </c>
      <c r="E36" s="71" t="n">
        <v>0.3619938616520847</v>
      </c>
      <c r="F36" s="71" t="n">
        <v>-0.1725007356564119</v>
      </c>
      <c r="G36" s="71" t="n">
        <v>0.3334124986436103</v>
      </c>
      <c r="H36" s="71" t="n">
        <v>0.1727988148833219</v>
      </c>
    </row>
    <row r="37">
      <c r="B37" s="10" t="inlineStr">
        <is>
          <t>Invoice finance — average funds in use (advances)</t>
        </is>
      </c>
      <c r="C37" s="63" t="n">
        <v>150000</v>
      </c>
      <c r="D37" s="14" t="inlineStr">
        <is>
          <t>£/client</t>
        </is>
      </c>
      <c r="E37" s="71" t="n">
        <v>0.3101871844046677</v>
      </c>
      <c r="F37" s="71" t="n">
        <v>-0.1543074556452041</v>
      </c>
      <c r="G37" s="71" t="n">
        <v>0.209829595204097</v>
      </c>
      <c r="H37" s="71" t="n">
        <v>0.1545459315400012</v>
      </c>
    </row>
    <row r="38">
      <c r="B38" s="10" t="inlineStr">
        <is>
          <t>Notice &amp; fixed deposits — rate paid</t>
        </is>
      </c>
      <c r="C38" s="63" t="n">
        <v>0.041</v>
      </c>
      <c r="D38" s="14" t="inlineStr">
        <is>
          <t>% p.a.</t>
        </is>
      </c>
      <c r="E38" s="71" t="n">
        <v>-0.3069295380274881</v>
      </c>
      <c r="F38" s="71" t="n">
        <v>0.1467286786560457</v>
      </c>
      <c r="G38" s="71" t="n">
        <v>-0.2828446455047969</v>
      </c>
      <c r="H38" s="71" t="n">
        <v>-0.1465137010384164</v>
      </c>
    </row>
    <row r="39">
      <c r="B39" s="10" t="inlineStr">
        <is>
          <t>Invoice finance — penetration</t>
        </is>
      </c>
      <c r="C39" s="63" t="n">
        <v>0.03</v>
      </c>
      <c r="D39" s="14" t="inlineStr">
        <is>
          <t>%</t>
        </is>
      </c>
      <c r="E39" s="71" t="n">
        <v>0.2968754767403625</v>
      </c>
      <c r="F39" s="71" t="n">
        <v>-0.1404317212375283</v>
      </c>
      <c r="G39" s="71" t="n">
        <v>0.1965312055379295</v>
      </c>
      <c r="H39" s="71" t="n">
        <v>0.1545459315400012</v>
      </c>
    </row>
    <row r="40">
      <c r="B40" s="10" t="inlineStr">
        <is>
          <t>Head office: technology &amp; central operations</t>
        </is>
      </c>
      <c r="C40" s="63" t="n">
        <v>450</v>
      </c>
      <c r="D40" s="14" t="inlineStr">
        <is>
          <t>£/customer/yr</t>
        </is>
      </c>
      <c r="E40" s="71" t="n">
        <v>-0.2965245383102628</v>
      </c>
      <c r="F40" s="71" t="n">
        <v>0.3095661825398512</v>
      </c>
      <c r="G40" s="71" t="n">
        <v>-0.2965245383105712</v>
      </c>
      <c r="H40" s="71" t="n">
        <v>0</v>
      </c>
    </row>
    <row r="41">
      <c r="B41" s="10" t="inlineStr">
        <is>
          <t>Instant-access savings — rate paid</t>
        </is>
      </c>
      <c r="C41" s="63" t="n">
        <v>0.033</v>
      </c>
      <c r="D41" s="14" t="inlineStr">
        <is>
          <t>% p.a.</t>
        </is>
      </c>
      <c r="E41" s="71" t="n">
        <v>-0.2635102375261357</v>
      </c>
      <c r="F41" s="71" t="n">
        <v>0.1259457965071908</v>
      </c>
      <c r="G41" s="71" t="n">
        <v>-0.2428241773307234</v>
      </c>
      <c r="H41" s="71" t="n">
        <v>-0.125787372598882</v>
      </c>
    </row>
    <row r="42">
      <c r="B42" s="10" t="inlineStr">
        <is>
          <t>Invoice finance — funded invoices as multiple of advances</t>
        </is>
      </c>
      <c r="C42" s="63" t="n">
        <v>8</v>
      </c>
      <c r="D42" s="14" t="inlineStr">
        <is>
          <t>x p.a.</t>
        </is>
      </c>
      <c r="E42" s="71" t="n">
        <v>0.2395547613874036</v>
      </c>
      <c r="F42" s="71" t="n">
        <v>-0.1142215421111091</v>
      </c>
      <c r="G42" s="71" t="n">
        <v>0.2206618790426836</v>
      </c>
      <c r="H42" s="71" t="n">
        <v>0.1143521569080781</v>
      </c>
    </row>
    <row r="43">
      <c r="B43" s="10" t="inlineStr">
        <is>
          <t>Invoice finance — service fee</t>
        </is>
      </c>
      <c r="C43" s="63" t="n">
        <v>0.01</v>
      </c>
      <c r="D43" s="14" t="inlineStr">
        <is>
          <t>% of funded invoices</t>
        </is>
      </c>
      <c r="E43" s="71" t="n">
        <v>0.2395547613874036</v>
      </c>
      <c r="F43" s="71" t="n">
        <v>-0.1142215421111091</v>
      </c>
      <c r="G43" s="71" t="n">
        <v>0.2206618790426836</v>
      </c>
      <c r="H43" s="71" t="n">
        <v>0.1143521569080781</v>
      </c>
    </row>
    <row r="44">
      <c r="B44" s="10" t="inlineStr">
        <is>
          <t>Bank of England Bank Rate</t>
        </is>
      </c>
      <c r="C44" s="63" t="n">
        <v>0.0375</v>
      </c>
      <c r="D44" s="14" t="inlineStr">
        <is>
          <t>% p.a.</t>
        </is>
      </c>
      <c r="E44" s="71" t="n">
        <v>0.1990512830997236</v>
      </c>
      <c r="F44" s="71" t="n">
        <v>-0.09492750668173035</v>
      </c>
      <c r="G44" s="71" t="n">
        <v>0.1931242862657616</v>
      </c>
      <c r="H44" s="71" t="n">
        <v>0.09501770461968793</v>
      </c>
    </row>
    <row r="45">
      <c r="B45" s="10" t="inlineStr">
        <is>
          <t>International payments &amp; FX — penetration</t>
        </is>
      </c>
      <c r="C45" s="63" t="n">
        <v>0.2</v>
      </c>
      <c r="D45" s="14" t="inlineStr">
        <is>
          <t>%</t>
        </is>
      </c>
      <c r="E45" s="71" t="n">
        <v>0.1687945307331029</v>
      </c>
      <c r="F45" s="71" t="n">
        <v>-0.08000540090128463</v>
      </c>
      <c r="G45" s="71" t="n">
        <v>0.1554207840445721</v>
      </c>
      <c r="H45" s="71" t="n">
        <v>0.08099944447655529</v>
      </c>
    </row>
    <row r="46">
      <c r="B46" s="10" t="inlineStr">
        <is>
          <t>Asset finance — average balance</t>
        </is>
      </c>
      <c r="C46" s="63" t="n">
        <v>80000</v>
      </c>
      <c r="D46" s="14" t="inlineStr">
        <is>
          <t>£/agreement</t>
        </is>
      </c>
      <c r="E46" s="71" t="n">
        <v>0.1658745747382735</v>
      </c>
      <c r="F46" s="71" t="n">
        <v>-0.09273546655296665</v>
      </c>
      <c r="G46" s="71" t="n">
        <v>0.008961968797843937</v>
      </c>
      <c r="H46" s="71" t="n">
        <v>0.09282154504571802</v>
      </c>
    </row>
    <row r="47">
      <c r="B47" s="10" t="inlineStr">
        <is>
          <t>Head office: risk, compliance, financial crime, audit</t>
        </is>
      </c>
      <c r="C47" s="63" t="n">
        <v>250</v>
      </c>
      <c r="D47" s="14" t="inlineStr">
        <is>
          <t>£/customer/yr</t>
        </is>
      </c>
      <c r="E47" s="71" t="n">
        <v>-0.1647358546168127</v>
      </c>
      <c r="F47" s="71" t="n">
        <v>0.1719812125220667</v>
      </c>
      <c r="G47" s="71" t="n">
        <v>-0.1647358546170901</v>
      </c>
      <c r="H47" s="71" t="n">
        <v>0</v>
      </c>
    </row>
    <row r="48">
      <c r="B48" s="10" t="inlineStr">
        <is>
          <t>Asset finance — penetration</t>
        </is>
      </c>
      <c r="C48" s="63" t="n">
        <v>0.08</v>
      </c>
      <c r="D48" s="14" t="inlineStr">
        <is>
          <t>%</t>
        </is>
      </c>
      <c r="E48" s="71" t="n">
        <v>0.1587153370028682</v>
      </c>
      <c r="F48" s="71" t="n">
        <v>-0.08526828474335443</v>
      </c>
      <c r="G48" s="71" t="n">
        <v>0.001813946205839392</v>
      </c>
      <c r="H48" s="71" t="n">
        <v>0.09282154504571802</v>
      </c>
    </row>
    <row r="49">
      <c r="B49" s="10" t="inlineStr">
        <is>
          <t>Head office: finance, HR, exec, brand &amp; residual (non-acquisition) marketing</t>
        </is>
      </c>
      <c r="C49" s="63" t="n">
        <v>222</v>
      </c>
      <c r="D49" s="14" t="inlineStr">
        <is>
          <t>£/customer/yr</t>
        </is>
      </c>
      <c r="E49" s="71" t="n">
        <v>-0.1462854388997297</v>
      </c>
      <c r="F49" s="71" t="n">
        <v>0.1527193167196385</v>
      </c>
      <c r="G49" s="71" t="n">
        <v>-0.1462854388999867</v>
      </c>
      <c r="H49" s="71" t="n">
        <v>0</v>
      </c>
    </row>
    <row r="50">
      <c r="B50" s="10" t="inlineStr">
        <is>
          <t>Equity held against RWAs (CET1 target)</t>
        </is>
      </c>
      <c r="C50" s="63" t="n">
        <v>0.14</v>
      </c>
      <c r="D50" s="14" t="inlineStr">
        <is>
          <t>% of RWA</t>
        </is>
      </c>
      <c r="E50" s="71" t="n">
        <v>0.1238711722148994</v>
      </c>
      <c r="F50" s="71" t="n">
        <v>-0.05909531843834973</v>
      </c>
      <c r="G50" s="71" t="n">
        <v>-0.8674542849359645</v>
      </c>
      <c r="H50" s="71" t="n">
        <v>0.05913026165485447</v>
      </c>
    </row>
    <row r="51">
      <c r="B51" s="10" t="inlineStr">
        <is>
          <t>Business credit card — penetration</t>
        </is>
      </c>
      <c r="C51" s="63" t="n">
        <v>0.3</v>
      </c>
      <c r="D51" s="14" t="inlineStr">
        <is>
          <t>%</t>
        </is>
      </c>
      <c r="E51" s="71" t="n">
        <v>0.115162001627308</v>
      </c>
      <c r="F51" s="71" t="n">
        <v>-0.05450341134971946</v>
      </c>
      <c r="G51" s="71" t="n">
        <v>0.1025383467743691</v>
      </c>
      <c r="H51" s="71" t="n">
        <v>0.05762391571351869</v>
      </c>
    </row>
    <row r="52">
      <c r="B52" s="10" t="inlineStr">
        <is>
          <t>Overdraft — interest rate (EAR)</t>
        </is>
      </c>
      <c r="C52" s="63" t="n">
        <v>0.0975</v>
      </c>
      <c r="D52" s="14" t="inlineStr">
        <is>
          <t>% p.a.</t>
        </is>
      </c>
      <c r="E52" s="71" t="n">
        <v>0.1094840120404391</v>
      </c>
      <c r="F52" s="71" t="n">
        <v>-0.05223520978052387</v>
      </c>
      <c r="G52" s="71" t="n">
        <v>0.1008596961142311</v>
      </c>
      <c r="H52" s="71" t="n">
        <v>0.05226250921193411</v>
      </c>
    </row>
    <row r="53">
      <c r="B53" s="10" t="inlineStr">
        <is>
          <t>Card — average monthly spend</t>
        </is>
      </c>
      <c r="C53" s="63" t="n">
        <v>2500</v>
      </c>
      <c r="D53" s="14" t="inlineStr">
        <is>
          <t>£/card/month</t>
        </is>
      </c>
      <c r="E53" s="71" t="n">
        <v>0.1018107735896629</v>
      </c>
      <c r="F53" s="71" t="n">
        <v>-0.04857605888322602</v>
      </c>
      <c r="G53" s="71" t="n">
        <v>0.09379146319211618</v>
      </c>
      <c r="H53" s="71" t="n">
        <v>0.04859966668594098</v>
      </c>
    </row>
    <row r="54">
      <c r="B54" s="10" t="inlineStr">
        <is>
          <t>Card — commercial interchange earned</t>
        </is>
      </c>
      <c r="C54" s="63" t="n">
        <v>0.017</v>
      </c>
      <c r="D54" s="14" t="inlineStr">
        <is>
          <t>% of spend</t>
        </is>
      </c>
      <c r="E54" s="71" t="n">
        <v>0.1018107735896629</v>
      </c>
      <c r="F54" s="71" t="n">
        <v>-0.04857605888322602</v>
      </c>
      <c r="G54" s="71" t="n">
        <v>0.09379146319211618</v>
      </c>
      <c r="H54" s="71" t="n">
        <v>0.04859966668594098</v>
      </c>
    </row>
    <row r="55">
      <c r="B55" s="10" t="inlineStr">
        <is>
          <t>Term funding premium over Bank Rate</t>
        </is>
      </c>
      <c r="C55" s="63" t="n">
        <v>0.006</v>
      </c>
      <c r="D55" s="14" t="inlineStr">
        <is>
          <t>% p.a.</t>
        </is>
      </c>
      <c r="E55" s="71" t="n">
        <v>-0.1004133708148834</v>
      </c>
      <c r="F55" s="71" t="n">
        <v>0.04795559880866109</v>
      </c>
      <c r="G55" s="71" t="n">
        <v>-0.09251885130815904</v>
      </c>
      <c r="H55" s="71" t="n">
        <v>-0.04793261243730116</v>
      </c>
    </row>
    <row r="56">
      <c r="B56" s="10" t="inlineStr">
        <is>
          <t>Behavioural term credit for stable non-maturing deposits</t>
        </is>
      </c>
      <c r="C56" s="63" t="n">
        <v>0.005</v>
      </c>
      <c r="D56" s="14" t="inlineStr">
        <is>
          <t>% p.a.</t>
        </is>
      </c>
      <c r="E56" s="71" t="n">
        <v>0.09981448391141816</v>
      </c>
      <c r="F56" s="71" t="n">
        <v>-0.04762404074601882</v>
      </c>
      <c r="G56" s="71" t="n">
        <v>0.09195255933441075</v>
      </c>
      <c r="H56" s="71" t="n">
        <v>0.04764673204503252</v>
      </c>
    </row>
    <row r="57">
      <c r="B57" s="10" t="inlineStr">
        <is>
          <t>FX — average annual conversion volume</t>
        </is>
      </c>
      <c r="C57" s="63" t="n">
        <v>100000</v>
      </c>
      <c r="D57" s="14" t="inlineStr">
        <is>
          <t>£/user/yr</t>
        </is>
      </c>
      <c r="E57" s="71" t="n">
        <v>0.09981448391141816</v>
      </c>
      <c r="F57" s="71" t="n">
        <v>-0.04762404074601882</v>
      </c>
      <c r="G57" s="71" t="n">
        <v>0.09195255933441075</v>
      </c>
      <c r="H57" s="71" t="n">
        <v>0.04764673204503252</v>
      </c>
    </row>
    <row r="58">
      <c r="B58" s="10" t="inlineStr">
        <is>
          <t>FX — margin on conversion volume</t>
        </is>
      </c>
      <c r="C58" s="63" t="n">
        <v>0.0075</v>
      </c>
      <c r="D58" s="14" t="inlineStr">
        <is>
          <t>% of volume</t>
        </is>
      </c>
      <c r="E58" s="71" t="n">
        <v>0.09981448391141816</v>
      </c>
      <c r="F58" s="71" t="n">
        <v>-0.04762404074601882</v>
      </c>
      <c r="G58" s="71" t="n">
        <v>0.09195255933441075</v>
      </c>
      <c r="H58" s="71" t="n">
        <v>0.04764673204503252</v>
      </c>
    </row>
    <row r="59">
      <c r="B59" s="10" t="inlineStr">
        <is>
          <t>Overdraft — average limit</t>
        </is>
      </c>
      <c r="C59" s="63" t="n">
        <v>15000</v>
      </c>
      <c r="D59" s="14" t="inlineStr">
        <is>
          <t>£/facility</t>
        </is>
      </c>
      <c r="E59" s="71" t="n">
        <v>0.09519058528012668</v>
      </c>
      <c r="F59" s="71" t="n">
        <v>-0.05209194641982378</v>
      </c>
      <c r="G59" s="71" t="n">
        <v>0.051574506124141</v>
      </c>
      <c r="H59" s="71" t="n">
        <v>0.05211909627141639</v>
      </c>
    </row>
    <row r="60">
      <c r="B60" s="10" t="inlineStr">
        <is>
          <t>Productive hours per FTE per month</t>
        </is>
      </c>
      <c r="C60" s="63" t="n">
        <v>147</v>
      </c>
      <c r="D60" s="14" t="inlineStr">
        <is>
          <t>hours</t>
        </is>
      </c>
      <c r="E60" s="71" t="n">
        <v>0.09121190632452875</v>
      </c>
      <c r="F60" s="71" t="n">
        <v>-0.09522355823886089</v>
      </c>
      <c r="G60" s="71" t="n">
        <v>0.09121190632435788</v>
      </c>
      <c r="H60" s="71" t="n">
        <v>0</v>
      </c>
    </row>
    <row r="61">
      <c r="B61" s="10" t="inlineStr">
        <is>
          <t>Overdraft — penetration</t>
        </is>
      </c>
      <c r="C61" s="63" t="n">
        <v>0.25</v>
      </c>
      <c r="D61" s="14" t="inlineStr">
        <is>
          <t>%</t>
        </is>
      </c>
      <c r="E61" s="71" t="n">
        <v>0.08132422312990931</v>
      </c>
      <c r="F61" s="71" t="n">
        <v>-0.0376232594615131</v>
      </c>
      <c r="G61" s="71" t="n">
        <v>0.0377141861854879</v>
      </c>
      <c r="H61" s="71" t="n">
        <v>0.05211909627141639</v>
      </c>
    </row>
    <row r="62">
      <c r="B62" s="10" t="inlineStr">
        <is>
          <t>Customers per relationship manager (L)</t>
        </is>
      </c>
      <c r="C62" s="63" t="n">
        <v>120</v>
      </c>
      <c r="D62" s="14" t="inlineStr">
        <is>
          <t>customers</t>
        </is>
      </c>
      <c r="E62" s="71" t="n">
        <v>0.08107710567534358</v>
      </c>
      <c r="F62" s="71" t="n">
        <v>-0.08464301213748615</v>
      </c>
      <c r="G62" s="71" t="n">
        <v>0.08107710567522457</v>
      </c>
      <c r="H62" s="71" t="n">
        <v>0</v>
      </c>
    </row>
    <row r="63">
      <c r="B63" s="10" t="inlineStr">
        <is>
          <t>Share of customers that are relationship-managed</t>
        </is>
      </c>
      <c r="C63" s="63" t="n">
        <v>0.15</v>
      </c>
      <c r="D63" s="14" t="inlineStr">
        <is>
          <t>%</t>
        </is>
      </c>
      <c r="E63" s="71" t="n">
        <v>-0.08092587948856705</v>
      </c>
      <c r="F63" s="71" t="n">
        <v>0.08448513477060619</v>
      </c>
      <c r="G63" s="71" t="n">
        <v>-0.08092587948885854</v>
      </c>
      <c r="H63" s="71" t="n">
        <v>0</v>
      </c>
    </row>
    <row r="64">
      <c r="B64" s="10" t="inlineStr">
        <is>
          <t>BCA — net transaction &amp; cash-handling income</t>
        </is>
      </c>
      <c r="C64" s="63" t="n">
        <v>120</v>
      </c>
      <c r="D64" s="14" t="inlineStr">
        <is>
          <t>£/account/yr</t>
        </is>
      </c>
      <c r="E64" s="71" t="n">
        <v>0.07985158712913452</v>
      </c>
      <c r="F64" s="71" t="n">
        <v>-0.03810286182134639</v>
      </c>
      <c r="G64" s="71" t="n">
        <v>0.07356320301076685</v>
      </c>
      <c r="H64" s="71" t="n">
        <v>0.03811738563602602</v>
      </c>
    </row>
    <row r="65">
      <c r="B65" s="10" t="inlineStr">
        <is>
          <t>Change-the-bank / transformation spend per customer</t>
        </is>
      </c>
      <c r="C65" s="63" t="n">
        <v>120</v>
      </c>
      <c r="D65" s="14" t="inlineStr">
        <is>
          <t>£/customer/yr</t>
        </is>
      </c>
      <c r="E65" s="71" t="n">
        <v>-0.07907321021607008</v>
      </c>
      <c r="F65" s="71" t="n">
        <v>0.08255098201058327</v>
      </c>
      <c r="G65" s="71" t="n">
        <v>-0.0790732102163739</v>
      </c>
      <c r="H65" s="71" t="n">
        <v>0</v>
      </c>
    </row>
    <row r="66">
      <c r="B66" s="10" t="inlineStr">
        <is>
          <t>Term loans — probability of default</t>
        </is>
      </c>
      <c r="C66" s="63" t="n">
        <v>0.018</v>
      </c>
      <c r="D66" s="14" t="inlineStr">
        <is>
          <t>% p.a.</t>
        </is>
      </c>
      <c r="E66" s="71" t="n">
        <v>-0.07828247811390938</v>
      </c>
      <c r="F66" s="71" t="n">
        <v>0</v>
      </c>
      <c r="G66" s="71" t="n">
        <v>-0.07828247811415756</v>
      </c>
      <c r="H66" s="71" t="n">
        <v>0</v>
      </c>
    </row>
    <row r="67">
      <c r="B67" s="10" t="inlineStr">
        <is>
          <t>Term loans — loss given default</t>
        </is>
      </c>
      <c r="C67" s="63" t="n">
        <v>0.25</v>
      </c>
      <c r="D67" s="14" t="inlineStr">
        <is>
          <t>%</t>
        </is>
      </c>
      <c r="E67" s="71" t="n">
        <v>-0.07828247811390938</v>
      </c>
      <c r="F67" s="71" t="n">
        <v>0</v>
      </c>
      <c r="G67" s="71" t="n">
        <v>-0.07828247811415756</v>
      </c>
      <c r="H67" s="71" t="n">
        <v>0</v>
      </c>
    </row>
    <row r="68">
      <c r="B68" s="10" t="inlineStr">
        <is>
          <t>Term loans — arrangement fee</t>
        </is>
      </c>
      <c r="C68" s="63" t="n">
        <v>0.015</v>
      </c>
      <c r="D68" s="14" t="inlineStr">
        <is>
          <t>% of loan</t>
        </is>
      </c>
      <c r="E68" s="71" t="n">
        <v>0.07486086293356362</v>
      </c>
      <c r="F68" s="71" t="n">
        <v>-0.03572228365829964</v>
      </c>
      <c r="G68" s="71" t="n">
        <v>0.0689657736584007</v>
      </c>
      <c r="H68" s="71" t="n">
        <v>0.03573504903377439</v>
      </c>
    </row>
    <row r="69">
      <c r="B69" s="10" t="inlineStr">
        <is>
          <t>Invoice finance — discount margin over base</t>
        </is>
      </c>
      <c r="C69" s="63" t="n">
        <v>0.025</v>
      </c>
      <c r="D69" s="14" t="inlineStr">
        <is>
          <t>% p.a.</t>
        </is>
      </c>
      <c r="E69" s="71" t="n">
        <v>0.07486086293356362</v>
      </c>
      <c r="F69" s="71" t="n">
        <v>-0.03572228365829964</v>
      </c>
      <c r="G69" s="71" t="n">
        <v>0.0689657736584007</v>
      </c>
      <c r="H69" s="71" t="n">
        <v>0.03573504903377439</v>
      </c>
    </row>
    <row r="70">
      <c r="B70" s="10" t="inlineStr">
        <is>
          <t>Term loans — risk weight</t>
        </is>
      </c>
      <c r="C70" s="63" t="n">
        <v>0.7</v>
      </c>
      <c r="D70" s="14" t="inlineStr">
        <is>
          <t>%</t>
        </is>
      </c>
      <c r="E70" s="71" t="n">
        <v>0.07264851188601439</v>
      </c>
      <c r="F70" s="71" t="n">
        <v>-0.03466695472918382</v>
      </c>
      <c r="G70" s="71" t="n">
        <v>-0.5108399059911144</v>
      </c>
      <c r="H70" s="71" t="n">
        <v>0.03467897687449064</v>
      </c>
    </row>
    <row r="71">
      <c r="B71" s="10" t="inlineStr">
        <is>
          <t>International payments — number per user per year</t>
        </is>
      </c>
      <c r="C71" s="63" t="n">
        <v>30</v>
      </c>
      <c r="D71" s="14" t="inlineStr">
        <is>
          <t>payments</t>
        </is>
      </c>
      <c r="E71" s="71" t="n">
        <v>0.06987013873799271</v>
      </c>
      <c r="F71" s="71" t="n">
        <v>-0.03334159210622355</v>
      </c>
      <c r="G71" s="71" t="n">
        <v>0.06436830819666425</v>
      </c>
      <c r="H71" s="71" t="n">
        <v>0.03335271243152277</v>
      </c>
    </row>
    <row r="72">
      <c r="B72" s="10" t="inlineStr">
        <is>
          <t>International payment fee</t>
        </is>
      </c>
      <c r="C72" s="63" t="n">
        <v>17.5</v>
      </c>
      <c r="D72" s="14" t="inlineStr">
        <is>
          <t>£/payment</t>
        </is>
      </c>
      <c r="E72" s="71" t="n">
        <v>0.06987013873799271</v>
      </c>
      <c r="F72" s="71" t="n">
        <v>-0.03334159210622355</v>
      </c>
      <c r="G72" s="71" t="n">
        <v>0.06436830819666425</v>
      </c>
      <c r="H72" s="71" t="n">
        <v>0.03335271243152277</v>
      </c>
    </row>
    <row r="73">
      <c r="B73" s="10" t="inlineStr">
        <is>
          <t>BCA — monthly account fee</t>
        </is>
      </c>
      <c r="C73" s="63" t="n">
        <v>8.5</v>
      </c>
      <c r="D73" s="14" t="inlineStr">
        <is>
          <t>£/month</t>
        </is>
      </c>
      <c r="E73" s="71" t="n">
        <v>0.06787384905976844</v>
      </c>
      <c r="F73" s="71" t="n">
        <v>-0.03238928373466862</v>
      </c>
      <c r="G73" s="71" t="n">
        <v>0.06252931190123294</v>
      </c>
      <c r="H73" s="71" t="n">
        <v>0.03239977779061431</v>
      </c>
    </row>
    <row r="74">
      <c r="B74" s="10" t="inlineStr">
        <is>
          <t>Relationship manager — salary</t>
        </is>
      </c>
      <c r="C74" s="63" t="n">
        <v>65000</v>
      </c>
      <c r="D74" s="14" t="inlineStr">
        <is>
          <t>£/yr</t>
        </is>
      </c>
      <c r="E74" s="71" t="n">
        <v>-0.06464852694618542</v>
      </c>
      <c r="F74" s="71" t="n">
        <v>0.06749187708921207</v>
      </c>
      <c r="G74" s="71" t="n">
        <v>-0.06464852694648321</v>
      </c>
      <c r="H74" s="71" t="n">
        <v>0</v>
      </c>
    </row>
    <row r="75">
      <c r="B75" s="10" t="inlineStr">
        <is>
          <t>Instant-access savings — average balance</t>
        </is>
      </c>
      <c r="C75" s="63" t="n">
        <v>30000</v>
      </c>
      <c r="D75" s="14" t="inlineStr">
        <is>
          <t>£/account</t>
        </is>
      </c>
      <c r="E75" s="71" t="n">
        <v>0.06103463413552909</v>
      </c>
      <c r="F75" s="71" t="n">
        <v>-0.02751368315916409</v>
      </c>
      <c r="G75" s="71" t="n">
        <v>0.05600480950303754</v>
      </c>
      <c r="H75" s="71" t="n">
        <v>0.03049390850881691</v>
      </c>
    </row>
    <row r="76">
      <c r="B76" s="10" t="inlineStr">
        <is>
          <t>Term loans — average life</t>
        </is>
      </c>
      <c r="C76" s="63" t="n">
        <v>4</v>
      </c>
      <c r="D76" s="14" t="inlineStr">
        <is>
          <t>years</t>
        </is>
      </c>
      <c r="E76" s="71" t="n">
        <v>-0.0605521133221927</v>
      </c>
      <c r="F76" s="71" t="n">
        <v>0.02122446956929888</v>
      </c>
      <c r="G76" s="71" t="n">
        <v>-0.05472260563925134</v>
      </c>
      <c r="H76" s="71" t="n">
        <v>-0.03538123666704555</v>
      </c>
    </row>
    <row r="77">
      <c r="B77" s="10" t="inlineStr">
        <is>
          <t>BCA — credit interest paid</t>
        </is>
      </c>
      <c r="C77" s="63" t="n">
        <v>0.005</v>
      </c>
      <c r="D77" s="14" t="inlineStr">
        <is>
          <t>% p.a.</t>
        </is>
      </c>
      <c r="E77" s="71" t="n">
        <v>-0.0598886903468509</v>
      </c>
      <c r="F77" s="71" t="n">
        <v>0.02859621432394117</v>
      </c>
      <c r="G77" s="71" t="n">
        <v>-0.05517846962304982</v>
      </c>
      <c r="H77" s="71" t="n">
        <v>-0.02858803922701951</v>
      </c>
    </row>
    <row r="78">
      <c r="B78" s="10" t="inlineStr">
        <is>
          <t>Instant-access savings — penetration</t>
        </is>
      </c>
      <c r="C78" s="63" t="n">
        <v>0.4</v>
      </c>
      <c r="D78" s="14" t="inlineStr">
        <is>
          <t>%</t>
        </is>
      </c>
      <c r="E78" s="71" t="n">
        <v>0.0592544503026677</v>
      </c>
      <c r="F78" s="71" t="n">
        <v>-0.02565577041929928</v>
      </c>
      <c r="G78" s="71" t="n">
        <v>0.05422471515567431</v>
      </c>
      <c r="H78" s="71" t="n">
        <v>0.03049390850881691</v>
      </c>
    </row>
    <row r="79">
      <c r="B79" s="10" t="inlineStr">
        <is>
          <t>Overdraft — average utilisation</t>
        </is>
      </c>
      <c r="C79" s="63" t="n">
        <v>0.45</v>
      </c>
      <c r="D79" s="14" t="inlineStr">
        <is>
          <t>% of limit</t>
        </is>
      </c>
      <c r="E79" s="71" t="n">
        <v>0.05776015381344716</v>
      </c>
      <c r="F79" s="71" t="n">
        <v>-0.03423984406982809</v>
      </c>
      <c r="G79" s="71" t="n">
        <v>0.01710511817772802</v>
      </c>
      <c r="H79" s="71" t="n">
        <v>0.03425157175458779</v>
      </c>
    </row>
    <row r="80">
      <c r="B80" s="10" t="inlineStr">
        <is>
          <t>Credit analyst / underwriter — salary</t>
        </is>
      </c>
      <c r="C80" s="63" t="n">
        <v>55000</v>
      </c>
      <c r="D80" s="14" t="inlineStr">
        <is>
          <t>£/yr</t>
        </is>
      </c>
      <c r="E80" s="71" t="n">
        <v>-0.05171141124509487</v>
      </c>
      <c r="F80" s="71" t="n">
        <v>0.05398576544161963</v>
      </c>
      <c r="G80" s="71" t="n">
        <v>-0.05171141124499209</v>
      </c>
      <c r="H80" s="71" t="n">
        <v>0</v>
      </c>
    </row>
    <row r="81">
      <c r="B81" s="10" t="inlineStr">
        <is>
          <t>Liquidity buffer held against deposits (LCR / HQLA)</t>
        </is>
      </c>
      <c r="C81" s="63" t="n">
        <v>0.15</v>
      </c>
      <c r="D81" s="14" t="inlineStr">
        <is>
          <t>% of deposits</t>
        </is>
      </c>
      <c r="E81" s="71" t="n">
        <v>-0.04117347461329634</v>
      </c>
      <c r="F81" s="71" t="n">
        <v>0.01965814063393465</v>
      </c>
      <c r="G81" s="71" t="n">
        <v>-0.03793463915464931</v>
      </c>
      <c r="H81" s="71" t="n">
        <v>-0.01965427696859545</v>
      </c>
    </row>
    <row r="82">
      <c r="B82" s="10" t="inlineStr">
        <is>
          <t>Yield give-up on the liquidity buffer vs Bank Rate</t>
        </is>
      </c>
      <c r="C82" s="63" t="n">
        <v>0.01</v>
      </c>
      <c r="D82" s="14" t="inlineStr">
        <is>
          <t>% p.a.</t>
        </is>
      </c>
      <c r="E82" s="71" t="n">
        <v>-0.04117347461329634</v>
      </c>
      <c r="F82" s="71" t="n">
        <v>0.01965814063393465</v>
      </c>
      <c r="G82" s="71" t="n">
        <v>-0.03793463915464931</v>
      </c>
      <c r="H82" s="71" t="n">
        <v>-0.01965427696859545</v>
      </c>
    </row>
    <row r="83">
      <c r="B83" s="10" t="inlineStr">
        <is>
          <t>Unit-level platform &amp; processing cost</t>
        </is>
      </c>
      <c r="C83" s="63" t="n">
        <v>60</v>
      </c>
      <c r="D83" s="14" t="inlineStr">
        <is>
          <t>£/customer/yr</t>
        </is>
      </c>
      <c r="E83" s="71" t="n">
        <v>-0.03953660510803504</v>
      </c>
      <c r="F83" s="71" t="n">
        <v>0.0412754910054009</v>
      </c>
      <c r="G83" s="71" t="n">
        <v>-0.03953660510795137</v>
      </c>
      <c r="H83" s="71" t="n">
        <v>0</v>
      </c>
    </row>
    <row r="84">
      <c r="B84" s="10" t="inlineStr">
        <is>
          <t>Overdraft — annual arrangement/renewal fee</t>
        </is>
      </c>
      <c r="C84" s="63" t="n">
        <v>0.015</v>
      </c>
      <c r="D84" s="14" t="inlineStr">
        <is>
          <t>% of limit</t>
        </is>
      </c>
      <c r="E84" s="71" t="n">
        <v>0.03743043146690454</v>
      </c>
      <c r="F84" s="71" t="n">
        <v>-0.01786433260297001</v>
      </c>
      <c r="G84" s="71" t="n">
        <v>0.03448390249733824</v>
      </c>
      <c r="H84" s="71" t="n">
        <v>0.01786752451694579</v>
      </c>
    </row>
    <row r="85">
      <c r="B85" s="10" t="inlineStr">
        <is>
          <t>Fraud &amp; payment losses (incl. APP reimbursement) per current account</t>
        </is>
      </c>
      <c r="C85" s="63" t="n">
        <v>45</v>
      </c>
      <c r="D85" s="14" t="inlineStr">
        <is>
          <t>£/BCA/yr</t>
        </is>
      </c>
      <c r="E85" s="71" t="n">
        <v>-0.02965245383102628</v>
      </c>
      <c r="F85" s="71" t="n">
        <v>0.03095661825405067</v>
      </c>
      <c r="G85" s="71" t="n">
        <v>-0.02965245383120229</v>
      </c>
      <c r="H85" s="71" t="n">
        <v>0</v>
      </c>
    </row>
    <row r="86">
      <c r="B86" s="10" t="inlineStr">
        <is>
          <t>Asset finance — probability of default</t>
        </is>
      </c>
      <c r="C86" s="63" t="n">
        <v>0.022</v>
      </c>
      <c r="D86" s="14" t="inlineStr">
        <is>
          <t>% p.a.</t>
        </is>
      </c>
      <c r="E86" s="71" t="n">
        <v>-0.02857600386260983</v>
      </c>
      <c r="F86" s="71" t="n">
        <v>0</v>
      </c>
      <c r="G86" s="71" t="n">
        <v>-0.02857600386254362</v>
      </c>
      <c r="H86" s="71" t="n">
        <v>0</v>
      </c>
    </row>
    <row r="87">
      <c r="B87" s="10" t="inlineStr">
        <is>
          <t>Asset finance — loss given default</t>
        </is>
      </c>
      <c r="C87" s="63" t="n">
        <v>0.35</v>
      </c>
      <c r="D87" s="14" t="inlineStr">
        <is>
          <t>%</t>
        </is>
      </c>
      <c r="E87" s="71" t="n">
        <v>-0.02857600386260983</v>
      </c>
      <c r="F87" s="71" t="n">
        <v>0</v>
      </c>
      <c r="G87" s="71" t="n">
        <v>-0.02857600386254362</v>
      </c>
      <c r="H87" s="71" t="n">
        <v>0</v>
      </c>
    </row>
    <row r="88">
      <c r="B88" s="10" t="inlineStr">
        <is>
          <t>Management span (staff per manager)</t>
        </is>
      </c>
      <c r="C88" s="63" t="n">
        <v>8</v>
      </c>
      <c r="D88" s="14" t="inlineStr">
        <is>
          <t>staff</t>
        </is>
      </c>
      <c r="E88" s="71" t="n">
        <v>0.02728475739292511</v>
      </c>
      <c r="F88" s="71" t="n">
        <v>-0.0284847865736678</v>
      </c>
      <c r="G88" s="71" t="n">
        <v>0.02728475739261982</v>
      </c>
      <c r="H88" s="71" t="n">
        <v>0</v>
      </c>
    </row>
    <row r="89">
      <c r="B89" s="10" t="inlineStr">
        <is>
          <t>Team manager — salary</t>
        </is>
      </c>
      <c r="C89" s="63" t="n">
        <v>85000</v>
      </c>
      <c r="D89" s="14" t="inlineStr">
        <is>
          <t>£/yr</t>
        </is>
      </c>
      <c r="E89" s="71" t="n">
        <v>-0.0257511658564655</v>
      </c>
      <c r="F89" s="71" t="n">
        <v>0.02688374512136233</v>
      </c>
      <c r="G89" s="71" t="n">
        <v>-0.02575116585676012</v>
      </c>
      <c r="H89" s="71" t="n">
        <v>0</v>
      </c>
    </row>
    <row r="90">
      <c r="B90" s="10" t="inlineStr">
        <is>
          <t>Annual customer churn (replaced at steady state)</t>
        </is>
      </c>
      <c r="C90" s="63" t="n">
        <v>0.12</v>
      </c>
      <c r="D90" s="14" t="inlineStr">
        <is>
          <t>% p.a.</t>
        </is>
      </c>
      <c r="E90" s="71" t="n">
        <v>-0.02469126258220576</v>
      </c>
      <c r="F90" s="71" t="n">
        <v>0.02577722553153486</v>
      </c>
      <c r="G90" s="71" t="n">
        <v>-0.02469126258230462</v>
      </c>
      <c r="H90" s="71" t="n">
        <v>0</v>
      </c>
    </row>
    <row r="91">
      <c r="B91" s="10" t="inlineStr">
        <is>
          <t>Employment on-costs (NI, pension, benefits)</t>
        </is>
      </c>
      <c r="C91" s="63" t="n">
        <v>0.15</v>
      </c>
      <c r="D91" s="14" t="inlineStr">
        <is>
          <t>% of salary</t>
        </is>
      </c>
      <c r="E91" s="71" t="n">
        <v>-0.02057660219051082</v>
      </c>
      <c r="F91" s="71" t="n">
        <v>0.02148159550679803</v>
      </c>
      <c r="G91" s="71" t="n">
        <v>-0.02057660219063057</v>
      </c>
      <c r="H91" s="71" t="n">
        <v>0</v>
      </c>
    </row>
    <row r="92">
      <c r="B92" s="10" t="inlineStr">
        <is>
          <t>Operational-risk RWA multiple of gross income</t>
        </is>
      </c>
      <c r="C92" s="63" t="n">
        <v>1.875</v>
      </c>
      <c r="D92" s="14" t="inlineStr">
        <is>
          <t>x revenue</t>
        </is>
      </c>
      <c r="E92" s="71" t="n">
        <v>0.01940217969118421</v>
      </c>
      <c r="F92" s="71" t="n">
        <v>-0.009260828777932256</v>
      </c>
      <c r="G92" s="71" t="n">
        <v>-0.1370151321223097</v>
      </c>
      <c r="H92" s="71" t="n">
        <v>0.009261686486871161</v>
      </c>
    </row>
    <row r="93">
      <c r="B93" s="10" t="inlineStr">
        <is>
          <t>Share of lending balances held by RM-managed customers</t>
        </is>
      </c>
      <c r="C93" s="63" t="n">
        <v>0.6</v>
      </c>
      <c r="D93" s="14" t="inlineStr">
        <is>
          <t>%</t>
        </is>
      </c>
      <c r="E93" s="71" t="n">
        <v>0.01833005970171241</v>
      </c>
      <c r="F93" s="71" t="n">
        <v>0</v>
      </c>
      <c r="G93" s="71" t="n">
        <v>0.0183300597013768</v>
      </c>
      <c r="H93" s="71" t="n">
        <v>0</v>
      </c>
    </row>
    <row r="94">
      <c r="B94" s="10" t="inlineStr">
        <is>
          <t>Stewardship effect: relative PD reduction on RM-covered balances</t>
        </is>
      </c>
      <c r="C94" s="63" t="n">
        <v>0.2</v>
      </c>
      <c r="D94" s="14" t="inlineStr">
        <is>
          <t>%</t>
        </is>
      </c>
      <c r="E94" s="71" t="n">
        <v>0.01833005970171241</v>
      </c>
      <c r="F94" s="71" t="n">
        <v>0</v>
      </c>
      <c r="G94" s="71" t="n">
        <v>0.0183300597013768</v>
      </c>
      <c r="H94" s="71" t="n">
        <v>0</v>
      </c>
    </row>
    <row r="95">
      <c r="B95" s="10" t="inlineStr">
        <is>
          <t>Churn replacement — acquisition marketing per new customer won</t>
        </is>
      </c>
      <c r="C95" s="63" t="n">
        <v>240</v>
      </c>
      <c r="D95" s="14" t="inlineStr">
        <is>
          <t>£/new customer</t>
        </is>
      </c>
      <c r="E95" s="71" t="n">
        <v>-0.01826591155990401</v>
      </c>
      <c r="F95" s="71" t="n">
        <v>0.01906927684454543</v>
      </c>
      <c r="G95" s="71" t="n">
        <v>-0.01826591156004862</v>
      </c>
      <c r="H95" s="71" t="n">
        <v>0</v>
      </c>
    </row>
    <row r="96">
      <c r="B96" s="10" t="inlineStr">
        <is>
          <t>Asset finance — risk weight</t>
        </is>
      </c>
      <c r="C96" s="63" t="n">
        <v>0.8</v>
      </c>
      <c r="D96" s="14" t="inlineStr">
        <is>
          <t>%</t>
        </is>
      </c>
      <c r="E96" s="71" t="n">
        <v>0.01771239908840788</v>
      </c>
      <c r="F96" s="71" t="n">
        <v>-0.008454350017280498</v>
      </c>
      <c r="G96" s="71" t="n">
        <v>-0.125099206722287</v>
      </c>
      <c r="H96" s="71" t="n">
        <v>0.008455064837974957</v>
      </c>
    </row>
    <row r="97">
      <c r="B97" s="10" t="inlineStr">
        <is>
          <t>Card — interest rate on revolving balances</t>
        </is>
      </c>
      <c r="C97" s="63" t="n">
        <v>0.159</v>
      </c>
      <c r="D97" s="14" t="inlineStr">
        <is>
          <t>% p.a.</t>
        </is>
      </c>
      <c r="E97" s="71" t="n">
        <v>0.01587050294203331</v>
      </c>
      <c r="F97" s="71" t="n">
        <v>-0.007575256506550518</v>
      </c>
      <c r="G97" s="71" t="n">
        <v>0.01462142272077909</v>
      </c>
      <c r="H97" s="71" t="n">
        <v>0.007575830395216416</v>
      </c>
    </row>
    <row r="98">
      <c r="B98" s="10" t="inlineStr">
        <is>
          <t>Service &amp; operations staff — salary</t>
        </is>
      </c>
      <c r="C98" s="63" t="n">
        <v>32000</v>
      </c>
      <c r="D98" s="14" t="inlineStr">
        <is>
          <t>£/yr</t>
        </is>
      </c>
      <c r="E98" s="71" t="n">
        <v>-0.01564284608034933</v>
      </c>
      <c r="F98" s="71" t="n">
        <v>0.01633084456626305</v>
      </c>
      <c r="G98" s="71" t="n">
        <v>-0.01564284608081514</v>
      </c>
      <c r="H98" s="71" t="n">
        <v>0</v>
      </c>
    </row>
    <row r="99">
      <c r="B99" s="10" t="inlineStr">
        <is>
          <t>Overdraft — probability of default</t>
        </is>
      </c>
      <c r="C99" s="63" t="n">
        <v>0.026</v>
      </c>
      <c r="D99" s="14" t="inlineStr">
        <is>
          <t>% p.a.</t>
        </is>
      </c>
      <c r="E99" s="71" t="n">
        <v>-0.01399299296284985</v>
      </c>
      <c r="F99" s="71" t="n">
        <v>0</v>
      </c>
      <c r="G99" s="71" t="n">
        <v>-0.01399299296281295</v>
      </c>
      <c r="H99" s="71" t="n">
        <v>0</v>
      </c>
    </row>
    <row r="100">
      <c r="B100" s="10" t="inlineStr">
        <is>
          <t>Overdraft — loss given default</t>
        </is>
      </c>
      <c r="C100" s="63" t="n">
        <v>0.55</v>
      </c>
      <c r="D100" s="14" t="inlineStr">
        <is>
          <t>%</t>
        </is>
      </c>
      <c r="E100" s="71" t="n">
        <v>-0.01399299296284985</v>
      </c>
      <c r="F100" s="71" t="n">
        <v>0</v>
      </c>
      <c r="G100" s="71" t="n">
        <v>-0.01399299296281295</v>
      </c>
      <c r="H100" s="71" t="n">
        <v>0</v>
      </c>
    </row>
    <row r="101">
      <c r="B101" s="10" t="inlineStr">
        <is>
          <t>Term loan underwriting &amp; completion</t>
        </is>
      </c>
      <c r="C101" s="63" t="n">
        <v>14</v>
      </c>
      <c r="D101" s="14" t="inlineStr">
        <is>
          <t>hrs/new loan</t>
        </is>
      </c>
      <c r="E101" s="71" t="n">
        <v>-0.01370322847785298</v>
      </c>
      <c r="F101" s="71" t="n">
        <v>0.01430591934339043</v>
      </c>
      <c r="G101" s="71" t="n">
        <v>-0.0137032284779602</v>
      </c>
      <c r="H101" s="71" t="n">
        <v>0</v>
      </c>
    </row>
    <row r="102">
      <c r="B102" s="10" t="inlineStr">
        <is>
          <t>Invoice finance — probability of default</t>
        </is>
      </c>
      <c r="C102" s="63" t="n">
        <v>0.026</v>
      </c>
      <c r="D102" s="14" t="inlineStr">
        <is>
          <t>% p.a.</t>
        </is>
      </c>
      <c r="E102" s="71" t="n">
        <v>-0.01356896287307272</v>
      </c>
      <c r="F102" s="71" t="n">
        <v>0</v>
      </c>
      <c r="G102" s="71" t="n">
        <v>-0.01356896287333288</v>
      </c>
      <c r="H102" s="71" t="n">
        <v>0</v>
      </c>
    </row>
    <row r="103">
      <c r="B103" s="10" t="inlineStr">
        <is>
          <t>Invoice finance — loss given default</t>
        </is>
      </c>
      <c r="C103" s="63" t="n">
        <v>0.2</v>
      </c>
      <c r="D103" s="14" t="inlineStr">
        <is>
          <t>%</t>
        </is>
      </c>
      <c r="E103" s="71" t="n">
        <v>-0.01356896287307272</v>
      </c>
      <c r="F103" s="71" t="n">
        <v>0</v>
      </c>
      <c r="G103" s="71" t="n">
        <v>-0.01356896287333288</v>
      </c>
      <c r="H103" s="71" t="n">
        <v>0</v>
      </c>
    </row>
    <row r="104">
      <c r="B104" s="10" t="inlineStr">
        <is>
          <t>Premises &amp; facilities per unit FTE</t>
        </is>
      </c>
      <c r="C104" s="63" t="n">
        <v>6000</v>
      </c>
      <c r="D104" s="14" t="inlineStr">
        <is>
          <t>£/FTE/yr</t>
        </is>
      </c>
      <c r="E104" s="71" t="n">
        <v>-0.01354829332592148</v>
      </c>
      <c r="F104" s="71" t="n">
        <v>0.01414416988493427</v>
      </c>
      <c r="G104" s="71" t="n">
        <v>-0.01354829332627234</v>
      </c>
      <c r="H104" s="71" t="n">
        <v>0</v>
      </c>
    </row>
    <row r="105">
      <c r="B105" s="10" t="inlineStr">
        <is>
          <t>BCA servicing (queries, payments support)</t>
        </is>
      </c>
      <c r="C105" s="63" t="n">
        <v>0.6</v>
      </c>
      <c r="D105" s="14" t="inlineStr">
        <is>
          <t>hrs/account/yr</t>
        </is>
      </c>
      <c r="E105" s="71" t="n">
        <v>-0.01335137874766737</v>
      </c>
      <c r="F105" s="71" t="n">
        <v>0.01393859467455354</v>
      </c>
      <c r="G105" s="71" t="n">
        <v>-0.01335137874769045</v>
      </c>
      <c r="H105" s="71" t="n">
        <v>0</v>
      </c>
    </row>
    <row r="106">
      <c r="B106" s="10" t="inlineStr">
        <is>
          <t>Overdraft annual review &amp; renewal</t>
        </is>
      </c>
      <c r="C106" s="63" t="n">
        <v>1.5</v>
      </c>
      <c r="D106" s="14" t="inlineStr">
        <is>
          <t>hrs/facility/yr</t>
        </is>
      </c>
      <c r="E106" s="71" t="n">
        <v>-0.01223502542667563</v>
      </c>
      <c r="F106" s="71" t="n">
        <v>0.01277314227084876</v>
      </c>
      <c r="G106" s="71" t="n">
        <v>-0.01223502542703396</v>
      </c>
      <c r="H106" s="71" t="n">
        <v>0</v>
      </c>
    </row>
    <row r="107">
      <c r="B107" s="10" t="inlineStr">
        <is>
          <t>Term loan annual review</t>
        </is>
      </c>
      <c r="C107" s="63" t="n">
        <v>3</v>
      </c>
      <c r="D107" s="14" t="inlineStr">
        <is>
          <t>hrs/loan/yr</t>
        </is>
      </c>
      <c r="E107" s="71" t="n">
        <v>-0.01174562440962334</v>
      </c>
      <c r="F107" s="71" t="n">
        <v>0.01226221658007843</v>
      </c>
      <c r="G107" s="71" t="n">
        <v>-0.01174562440975294</v>
      </c>
      <c r="H107" s="71" t="n">
        <v>0</v>
      </c>
    </row>
    <row r="108">
      <c r="B108" s="10" t="inlineStr">
        <is>
          <t>FSCS deposit-protection levy</t>
        </is>
      </c>
      <c r="C108" s="63" t="n">
        <v>0.0005999999999999999</v>
      </c>
      <c r="D108" s="14" t="inlineStr">
        <is>
          <t>% of protected deposits</t>
        </is>
      </c>
      <c r="E108" s="71" t="n">
        <v>-0.009785309764238673</v>
      </c>
      <c r="F108" s="71" t="n">
        <v>0.01021568402375696</v>
      </c>
      <c r="G108" s="71" t="n">
        <v>-0.009785309764105748</v>
      </c>
      <c r="H108" s="71" t="n">
        <v>0</v>
      </c>
    </row>
    <row r="109">
      <c r="B109" s="10" t="inlineStr">
        <is>
          <t>Share of deposit balances that are FSCS-protected</t>
        </is>
      </c>
      <c r="C109" s="63" t="n">
        <v>0.6</v>
      </c>
      <c r="D109" s="14" t="inlineStr">
        <is>
          <t>%</t>
        </is>
      </c>
      <c r="E109" s="71" t="n">
        <v>-0.009785309764238673</v>
      </c>
      <c r="F109" s="71" t="n">
        <v>0.01021568402375696</v>
      </c>
      <c r="G109" s="71" t="n">
        <v>-0.009785309764105748</v>
      </c>
      <c r="H109" s="71" t="n">
        <v>0</v>
      </c>
    </row>
    <row r="110">
      <c r="B110" s="10" t="inlineStr">
        <is>
          <t>Invoice finance — risk weight</t>
        </is>
      </c>
      <c r="C110" s="63" t="n">
        <v>0.6</v>
      </c>
      <c r="D110" s="14" t="inlineStr">
        <is>
          <t>%</t>
        </is>
      </c>
      <c r="E110" s="71" t="n">
        <v>0.009340522956773279</v>
      </c>
      <c r="F110" s="71" t="n">
        <v>-0.00445852680457372</v>
      </c>
      <c r="G110" s="71" t="n">
        <v>-0.06601483744602295</v>
      </c>
      <c r="H110" s="71" t="n">
        <v>0.004458725598148796</v>
      </c>
    </row>
    <row r="111">
      <c r="B111" s="10" t="inlineStr">
        <is>
          <t>Overdraft — risk weight</t>
        </is>
      </c>
      <c r="C111" s="63" t="n">
        <v>0.75</v>
      </c>
      <c r="D111" s="14" t="inlineStr">
        <is>
          <t>% of drawn</t>
        </is>
      </c>
      <c r="E111" s="71" t="n">
        <v>0.004378370135987474</v>
      </c>
      <c r="F111" s="71" t="n">
        <v>-0.002089983942857775</v>
      </c>
      <c r="G111" s="71" t="n">
        <v>-0.03095684670595658</v>
      </c>
      <c r="H111" s="71" t="n">
        <v>0.002090027624132248</v>
      </c>
    </row>
    <row r="112">
      <c r="B112" s="10" t="inlineStr">
        <is>
          <t>Tax rate (corporation tax + bank surcharge)</t>
        </is>
      </c>
      <c r="C112" s="63" t="n">
        <v>0.28</v>
      </c>
      <c r="D112" s="14" t="inlineStr">
        <is>
          <t>%</t>
        </is>
      </c>
      <c r="E112" s="71" t="n">
        <v>0</v>
      </c>
      <c r="F112" s="71" t="n">
        <v>0</v>
      </c>
      <c r="G112" s="71" t="n">
        <v>-0.388888888889195</v>
      </c>
      <c r="H112"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26"/>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2" customWidth="1" min="3" max="3"/>
    <col width="15" customWidth="1" min="4" max="4"/>
    <col width="15" customWidth="1" min="5" max="5"/>
    <col width="15" customWidth="1" min="6" max="6"/>
    <col width="15" customWidth="1" min="7" max="7"/>
    <col width="16" customWidth="1" min="8" max="8"/>
    <col width="12" customWidth="1" min="9" max="9"/>
    <col width="9" customWidth="1" min="10" max="10"/>
  </cols>
  <sheetData>
    <row r="1">
      <c r="B1" s="1" t="inlineStr">
        <is>
          <t>TRAJECTORY — WHAT IT TAKES TO BUILD THIS FROM NOTHING</t>
        </is>
      </c>
    </row>
    <row r="2" ht="44" customHeight="1">
      <c r="B2" s="5" t="inlineStr">
        <is>
          <t>Every other tab in this workbook describes a steady state. This one describes getting there. Time is deliberately NOT in the base model: at steady state a stock and a rate are the same statement, which is what makes the whole identity chain work without a forecast. So the trajectory runs the SAME model at a series of maturity states and reads the results as a cash flow — a wrapper around the snapshot, never inside it.</t>
        </is>
      </c>
    </row>
    <row r="3" ht="30" customHeight="1">
      <c r="B3" s="5" t="inlineStr">
        <is>
          <t>This matters because every new business starts sub-scale, where fixed cost dominates and unit economics look nothing like the steady state. That is the region the Allica backtest showed this model could not previously represent at all.</t>
        </is>
      </c>
    </row>
    <row r="5">
      <c r="B5" s="42" t="inlineStr">
        <is>
          <t>One regional business centre, built from nothing — 8-year ramp to steady state, cost scale elasticity 0.808</t>
        </is>
      </c>
    </row>
    <row r="6">
      <c r="B6" s="14" t="inlineStr">
        <is>
          <t>Build cost £6.0m in year 1 and £3.0m in year 2. Discount rate 12% — the model's own cost of equity.</t>
        </is>
      </c>
    </row>
    <row r="7">
      <c r="B7" s="45" t="inlineStr">
        <is>
          <t>Year</t>
        </is>
      </c>
      <c r="C7" s="45" t="inlineStr">
        <is>
          <t>Customers</t>
        </is>
      </c>
      <c r="D7" s="45" t="inlineStr">
        <is>
          <t>Income</t>
        </is>
      </c>
      <c r="E7" s="45" t="inlineStr">
        <is>
          <t>Operating cost</t>
        </is>
      </c>
      <c r="F7" s="45" t="inlineStr">
        <is>
          <t>Profit before tax</t>
        </is>
      </c>
      <c r="G7" s="45" t="inlineStr">
        <is>
          <t>Cash flow</t>
        </is>
      </c>
      <c r="H7" s="45" t="inlineStr">
        <is>
          <t>Cumulative cash</t>
        </is>
      </c>
      <c r="I7" s="45" t="inlineStr">
        <is>
          <t>Cost / customer</t>
        </is>
      </c>
      <c r="J7" s="45" t="inlineStr">
        <is>
          <t>Cost:income</t>
        </is>
      </c>
    </row>
    <row r="8">
      <c r="B8" s="42" t="n">
        <v>1</v>
      </c>
      <c r="C8" s="44" t="n">
        <v>301.171875</v>
      </c>
      <c r="D8" s="46" t="n">
        <v>957473.4381271362</v>
      </c>
      <c r="E8" s="46" t="n">
        <v>621931.4444624339</v>
      </c>
      <c r="F8" s="46" t="n">
        <v>272918.9040553273</v>
      </c>
      <c r="G8" s="46" t="n">
        <v>-5803498.389080164</v>
      </c>
      <c r="H8" s="46" t="n">
        <v>-5803498.389080164</v>
      </c>
      <c r="I8" s="46" t="n">
        <v>2065.038259174878</v>
      </c>
      <c r="J8" s="48" t="n">
        <v>0.6495547758264308</v>
      </c>
    </row>
    <row r="9">
      <c r="B9" s="42" t="n">
        <v>2</v>
      </c>
      <c r="C9" s="44" t="n">
        <v>620.625</v>
      </c>
      <c r="D9" s="46" t="n">
        <v>1973065.886506348</v>
      </c>
      <c r="E9" s="46" t="n">
        <v>1143780.437777619</v>
      </c>
      <c r="F9" s="46" t="n">
        <v>700238.0236037285</v>
      </c>
      <c r="G9" s="46" t="n">
        <v>-2495828.623005316</v>
      </c>
      <c r="H9" s="46" t="n">
        <v>-8299327.01208548</v>
      </c>
      <c r="I9" s="46" t="n">
        <v>1842.949345865247</v>
      </c>
      <c r="J9" s="48" t="n">
        <v>0.579697031710826</v>
      </c>
    </row>
    <row r="10">
      <c r="B10" s="42" t="n">
        <v>3</v>
      </c>
      <c r="C10" s="44" t="n">
        <v>1072.265625</v>
      </c>
      <c r="D10" s="46" t="n">
        <v>3408903.485939026</v>
      </c>
      <c r="E10" s="46" t="n">
        <v>1816763.121417706</v>
      </c>
      <c r="F10" s="46" t="n">
        <v>1369182.671943195</v>
      </c>
      <c r="G10" s="46" t="n">
        <v>985811.5237991003</v>
      </c>
      <c r="H10" s="46" t="n">
        <v>-7313515.48828638</v>
      </c>
      <c r="I10" s="46" t="n">
        <v>1694.321891012506</v>
      </c>
      <c r="J10" s="48" t="n">
        <v>0.5329464823253145</v>
      </c>
    </row>
    <row r="11">
      <c r="B11" s="42" t="n">
        <v>4</v>
      </c>
      <c r="C11" s="44" t="n">
        <v>1590</v>
      </c>
      <c r="D11" s="46" t="n">
        <v>5054863.660898438</v>
      </c>
      <c r="E11" s="46" t="n">
        <v>2538446.898715996</v>
      </c>
      <c r="F11" s="46" t="n">
        <v>2185805.836182442</v>
      </c>
      <c r="G11" s="46" t="n">
        <v>1573780.202051358</v>
      </c>
      <c r="H11" s="46" t="n">
        <v>-5739735.286235021</v>
      </c>
      <c r="I11" s="46" t="n">
        <v>1596.50748346918</v>
      </c>
      <c r="J11" s="48" t="n">
        <v>0.5021791029403985</v>
      </c>
    </row>
    <row r="12">
      <c r="B12" s="42" t="n">
        <v>5</v>
      </c>
      <c r="C12" s="44" t="n">
        <v>2107.734375</v>
      </c>
      <c r="D12" s="46" t="n">
        <v>6700823.83585785</v>
      </c>
      <c r="E12" s="46" t="n">
        <v>3226783.743447408</v>
      </c>
      <c r="F12" s="46" t="n">
        <v>3035775.932988567</v>
      </c>
      <c r="G12" s="46" t="n">
        <v>2185758.671751768</v>
      </c>
      <c r="H12" s="46" t="n">
        <v>-3553976.614483254</v>
      </c>
      <c r="I12" s="46" t="n">
        <v>1530.925235039357</v>
      </c>
      <c r="J12" s="48" t="n">
        <v>0.4815503022449343</v>
      </c>
    </row>
    <row r="13">
      <c r="B13" s="42" t="n">
        <v>6</v>
      </c>
      <c r="C13" s="44" t="n">
        <v>2559.375</v>
      </c>
      <c r="D13" s="46" t="n">
        <v>8136661.435290528</v>
      </c>
      <c r="E13" s="46" t="n">
        <v>3807773.856105018</v>
      </c>
      <c r="F13" s="46" t="n">
        <v>3796713.15231051</v>
      </c>
      <c r="G13" s="46" t="n">
        <v>2733633.469663567</v>
      </c>
      <c r="H13" s="46" t="n">
        <v>-820343.1448196867</v>
      </c>
      <c r="I13" s="46" t="n">
        <v>1487.774888832241</v>
      </c>
      <c r="J13" s="48" t="n">
        <v>0.4679774237121195</v>
      </c>
    </row>
    <row r="14">
      <c r="B14" s="42" t="n">
        <v>7</v>
      </c>
      <c r="C14" s="44" t="n">
        <v>2878.828125</v>
      </c>
      <c r="D14" s="46" t="n">
        <v>9152253.883669738</v>
      </c>
      <c r="E14" s="46" t="n">
        <v>4210013.115550779</v>
      </c>
      <c r="F14" s="46" t="n">
        <v>4343642.005728334</v>
      </c>
      <c r="G14" s="46" t="n">
        <v>3127422.2441244</v>
      </c>
      <c r="H14" s="46" t="n">
        <v>2307079.099304714</v>
      </c>
      <c r="I14" s="46" t="n">
        <v>1462.405163750712</v>
      </c>
      <c r="J14" s="48" t="n">
        <v>0.4599974136494025</v>
      </c>
    </row>
    <row r="15">
      <c r="B15" s="42" t="n">
        <v>8</v>
      </c>
      <c r="C15" s="44" t="n">
        <v>3000</v>
      </c>
      <c r="D15" s="46" t="n">
        <v>9537478.60546875</v>
      </c>
      <c r="E15" s="46" t="n">
        <v>4360941.459832817</v>
      </c>
      <c r="F15" s="46" t="n">
        <v>4552742.945635933</v>
      </c>
      <c r="G15" s="46" t="n">
        <v>3277974.920857872</v>
      </c>
      <c r="H15" s="46" t="n">
        <v>5585054.020162586</v>
      </c>
      <c r="I15" s="46" t="n">
        <v>1453.647153277606</v>
      </c>
      <c r="J15" s="48" t="n">
        <v>0.4572425942148139</v>
      </c>
    </row>
    <row r="17">
      <c r="B17" s="42" t="inlineStr">
        <is>
          <t>Peak funding need</t>
        </is>
      </c>
      <c r="D17" s="47" t="n">
        <v>8299327.01208548</v>
      </c>
    </row>
    <row r="18">
      <c r="B18" s="42" t="inlineStr">
        <is>
          <t>Payback</t>
        </is>
      </c>
      <c r="D18" s="43" t="n">
        <v>7</v>
      </c>
    </row>
    <row r="19">
      <c r="B19" s="42" t="inlineStr">
        <is>
          <t>NPV at 12%</t>
        </is>
      </c>
      <c r="D19" s="47" t="n">
        <v>-105699.2968567105</v>
      </c>
    </row>
    <row r="21">
      <c r="B21" s="7" t="inlineStr">
        <is>
          <t>WHAT THE SNAPSHOT CANNOT SEE</t>
        </is>
      </c>
      <c r="C21" s="8" t="inlineStr"/>
      <c r="D21" s="8" t="inlineStr"/>
      <c r="E21" s="8" t="inlineStr"/>
      <c r="F21" s="8" t="inlineStr"/>
      <c r="G21" s="8" t="inlineStr"/>
      <c r="H21" s="8" t="inlineStr"/>
      <c r="I21" s="8" t="inlineStr"/>
      <c r="J21" s="8" t="inlineStr"/>
    </row>
    <row r="22" ht="26" customHeight="1">
      <c r="B22" s="5" t="inlineStr">
        <is>
          <t>• The snapshot reports the last row of this table and nothing else: 3,000 customers, 45.7% cost:income, £4.55m of profit. On that evidence the business is comfortably good.</t>
        </is>
      </c>
    </row>
    <row r="23" ht="26" customHeight="1">
      <c r="B23" s="5" t="inlineStr">
        <is>
          <t>• The trajectory says it needs £8.3m of funding at its deepest point, takes seven years to repay, and has an NPV at the model's own 12% cost of equity of roughly MINUS £106,000. At that hurdle it is marginal — barely worth building.</t>
        </is>
      </c>
    </row>
    <row r="24" ht="26" customHeight="1">
      <c r="B24" s="5" t="inlineStr">
        <is>
          <t>• Both statements are true about the same business. A profitable steady state is not the same thing as a worthwhile investment, and until this tab existed the model could not tell the difference.</t>
        </is>
      </c>
    </row>
    <row r="25" ht="26" customHeight="1">
      <c r="B25" s="5" t="inlineStr">
        <is>
          <t>• The ramp shape is an assumption and a load-bearing one. Reaching steady state in six years rather than eight changes the answer more than most of the pricing inputs do. It is the first thing to replace with evidence from a real build.</t>
        </is>
      </c>
    </row>
    <row r="26" ht="26" customHeight="1">
      <c r="B26" s="5" t="inlineStr">
        <is>
          <t>• Time lives here and nowhere else. Putting years into the base tabs would break the steady-state identities the whole model rests on — the snapshot is the engine, and this is a wrapper around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2026-08-22T15:18:57Z</dcterms:created>
  <dcterms:modified xmlns:dcterms="http://purl.org/dc/terms/" xmlns:xsi="http://www.w3.org/2001/XMLSchema-instance" xsi:type="dcterms:W3CDTF">2026-08-22T15:18:57Z</dcterms:modified>
</cp:coreProperties>
</file>