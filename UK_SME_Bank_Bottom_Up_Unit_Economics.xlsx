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Inputs" sheetId="2" state="visible" r:id="rId2"/>
    <sheet xmlns:r="http://schemas.openxmlformats.org/officeDocument/2006/relationships" name="1. Customers" sheetId="3" state="visible" r:id="rId3"/>
    <sheet xmlns:r="http://schemas.openxmlformats.org/officeDocument/2006/relationships" name="1b. Demand &amp; CEPs" sheetId="4" state="visible" r:id="rId4"/>
    <sheet xmlns:r="http://schemas.openxmlformats.org/officeDocument/2006/relationships" name="2. Revenues" sheetId="5" state="visible" r:id="rId5"/>
    <sheet xmlns:r="http://schemas.openxmlformats.org/officeDocument/2006/relationships" name="3. HR &amp; Activity" sheetId="6" state="visible" r:id="rId6"/>
    <sheet xmlns:r="http://schemas.openxmlformats.org/officeDocument/2006/relationships" name="3b. Process Index" sheetId="7" state="visible" r:id="rId7"/>
    <sheet xmlns:r="http://schemas.openxmlformats.org/officeDocument/2006/relationships" name="4. Running Costs" sheetId="8" state="visible" r:id="rId8"/>
    <sheet xmlns:r="http://schemas.openxmlformats.org/officeDocument/2006/relationships" name="5. Risk &amp; Capital" sheetId="9" state="visible" r:id="rId9"/>
    <sheet xmlns:r="http://schemas.openxmlformats.org/officeDocument/2006/relationships" name="6. Unit Economics" sheetId="10" state="visible" r:id="rId10"/>
    <sheet xmlns:r="http://schemas.openxmlformats.org/officeDocument/2006/relationships" name="7. P&amp;L" sheetId="11" state="visible" r:id="rId11"/>
    <sheet xmlns:r="http://schemas.openxmlformats.org/officeDocument/2006/relationships" name="8. Org Structure" sheetId="12" state="visible" r:id="rId12"/>
    <sheet xmlns:r="http://schemas.openxmlformats.org/officeDocument/2006/relationships" name="9. Flow Register" sheetId="13" state="visible" r:id="rId13"/>
    <sheet xmlns:r="http://schemas.openxmlformats.org/officeDocument/2006/relationships" name="10. Elasticities" sheetId="14" state="visible" r:id="rId14"/>
    <sheet xmlns:r="http://schemas.openxmlformats.org/officeDocument/2006/relationships" name="11. Backtest" sheetId="15" state="visible" r:id="rId15"/>
  </sheets>
  <definedNames/>
  <calcPr calcId="124519" fullCalcOnLoad="1"/>
</workbook>
</file>

<file path=xl/styles.xml><?xml version="1.0" encoding="utf-8"?>
<styleSheet xmlns="http://schemas.openxmlformats.org/spreadsheetml/2006/main">
  <numFmts count="7">
    <numFmt numFmtId="164" formatCode="0.0%"/>
    <numFmt numFmtId="165" formatCode="£#,##0"/>
    <numFmt numFmtId="166" formatCode="#,##0.0"/>
    <numFmt numFmtId="167" formatCode="£#,##0.00"/>
    <numFmt numFmtId="168" formatCode="0.00000"/>
    <numFmt numFmtId="169" formatCode="+0.00;-0.00;0.00"/>
    <numFmt numFmtId="170" formatCode="0.00\x"/>
  </numFmts>
  <fonts count="10">
    <font>
      <name val="Calibri"/>
      <family val="2"/>
      <color theme="1"/>
      <sz val="11"/>
      <scheme val="minor"/>
    </font>
    <font>
      <name val="Arial"/>
      <b val="1"/>
      <color rgb="001F3864"/>
      <sz val="14"/>
    </font>
    <font>
      <name val="Arial"/>
      <i val="1"/>
      <color rgb="00808080"/>
      <sz val="9"/>
    </font>
    <font>
      <name val="Arial"/>
      <b val="1"/>
      <sz val="10"/>
    </font>
    <font>
      <name val="Arial"/>
      <color rgb="000000FF"/>
      <sz val="10"/>
    </font>
    <font>
      <name val="Arial"/>
      <sz val="10"/>
    </font>
    <font>
      <name val="Arial"/>
      <b val="1"/>
      <color rgb="00FFFFFF"/>
      <sz val="10"/>
    </font>
    <font>
      <name val="Arial"/>
      <color rgb="00008000"/>
      <sz val="10"/>
    </font>
    <font>
      <name val="Arial"/>
      <color rgb="00A0A0A0"/>
      <sz val="8"/>
    </font>
    <font>
      <name val="Arial"/>
      <b val="1"/>
      <color rgb="001F3864"/>
      <sz val="11"/>
    </font>
  </fonts>
  <fills count="6">
    <fill>
      <patternFill/>
    </fill>
    <fill>
      <patternFill patternType="gray125"/>
    </fill>
    <fill>
      <patternFill patternType="solid">
        <fgColor rgb="00FFFF00"/>
      </patternFill>
    </fill>
    <fill>
      <patternFill patternType="solid">
        <fgColor rgb="001F3864"/>
      </patternFill>
    </fill>
    <fill>
      <patternFill patternType="solid">
        <fgColor rgb="00D9E2F3"/>
      </patternFill>
    </fill>
    <fill>
      <patternFill patternType="solid">
        <fgColor rgb="00F2F2F2"/>
      </patternFill>
    </fill>
  </fills>
  <borders count="1">
    <border>
      <left/>
      <right/>
      <top/>
      <bottom/>
      <diagonal/>
    </border>
  </borders>
  <cellStyleXfs count="1">
    <xf numFmtId="0" fontId="0" fillId="0" borderId="0"/>
  </cellStyleXfs>
  <cellXfs count="73">
    <xf numFmtId="0" fontId="0" fillId="0" borderId="0" pivotButton="0" quotePrefix="0" xfId="0"/>
    <xf numFmtId="0" fontId="1" fillId="0" borderId="0" pivotButton="0" quotePrefix="0" xfId="0"/>
    <xf numFmtId="0" fontId="3" fillId="2" borderId="0" pivotButton="0" quotePrefix="0" xfId="0"/>
    <xf numFmtId="0" fontId="9" fillId="0" borderId="0" pivotButton="0" quotePrefix="0" xfId="0"/>
    <xf numFmtId="0" fontId="5" fillId="0" borderId="0" applyAlignment="1" pivotButton="0" quotePrefix="0" xfId="0">
      <alignment vertical="top" wrapText="1"/>
    </xf>
    <xf numFmtId="0" fontId="2" fillId="0" borderId="0" applyAlignment="1" pivotButton="0" quotePrefix="0" xfId="0">
      <alignment vertical="top" wrapText="1"/>
    </xf>
    <xf numFmtId="1" fontId="4" fillId="2" borderId="0" pivotButton="0" quotePrefix="0" xfId="0"/>
    <xf numFmtId="0" fontId="6" fillId="3" borderId="0" pivotButton="0" quotePrefix="0" xfId="0"/>
    <xf numFmtId="0" fontId="5" fillId="3" borderId="0" pivotButton="0" quotePrefix="0" xfId="0"/>
    <xf numFmtId="0" fontId="3" fillId="4" borderId="0" pivotButton="0" quotePrefix="0" xfId="0"/>
    <xf numFmtId="0" fontId="5" fillId="0" borderId="0" pivotButton="0" quotePrefix="0" xfId="0"/>
    <xf numFmtId="10" fontId="4" fillId="2" borderId="0" pivotButton="0" quotePrefix="0" xfId="0"/>
    <xf numFmtId="10" fontId="2" fillId="0" borderId="0" pivotButton="0" quotePrefix="0" xfId="0"/>
    <xf numFmtId="10" fontId="3" fillId="0" borderId="0" pivotButton="0" quotePrefix="0" xfId="0"/>
    <xf numFmtId="0" fontId="2" fillId="0" borderId="0" pivotButton="0" quotePrefix="0" xfId="0"/>
    <xf numFmtId="10" fontId="4" fillId="0" borderId="0" pivotButton="0" quotePrefix="0" xfId="0"/>
    <xf numFmtId="10" fontId="5" fillId="0" borderId="0" pivotButton="0" quotePrefix="0" xfId="0"/>
    <xf numFmtId="164" fontId="4" fillId="0" borderId="0" pivotButton="0" quotePrefix="0" xfId="0"/>
    <xf numFmtId="164" fontId="2" fillId="0" borderId="0" pivotButton="0" quotePrefix="0" xfId="0"/>
    <xf numFmtId="164" fontId="3" fillId="0" borderId="0" pivotButton="0" quotePrefix="0" xfId="0"/>
    <xf numFmtId="3" fontId="4" fillId="0" borderId="0" pivotButton="0" quotePrefix="0" xfId="0"/>
    <xf numFmtId="3" fontId="2" fillId="0" borderId="0" pivotButton="0" quotePrefix="0" xfId="0"/>
    <xf numFmtId="3" fontId="3" fillId="0" borderId="0" pivotButton="0" quotePrefix="0" xfId="0"/>
    <xf numFmtId="164" fontId="4" fillId="2" borderId="0" pivotButton="0" quotePrefix="0" xfId="0"/>
    <xf numFmtId="3" fontId="4" fillId="2" borderId="0" pivotButton="0" quotePrefix="0" xfId="0"/>
    <xf numFmtId="165" fontId="4" fillId="2" borderId="0" pivotButton="0" quotePrefix="0" xfId="0"/>
    <xf numFmtId="165" fontId="3" fillId="0" borderId="0" pivotButton="0" quotePrefix="0" xfId="0"/>
    <xf numFmtId="165" fontId="4" fillId="0" borderId="0" pivotButton="0" quotePrefix="0" xfId="0"/>
    <xf numFmtId="165" fontId="2" fillId="0" borderId="0" pivotButton="0" quotePrefix="0" xfId="0"/>
    <xf numFmtId="166" fontId="4" fillId="0" borderId="0" pivotButton="0" quotePrefix="0" xfId="0"/>
    <xf numFmtId="166" fontId="2" fillId="0" borderId="0" pivotButton="0" quotePrefix="0" xfId="0"/>
    <xf numFmtId="166" fontId="3" fillId="0" borderId="0" pivotButton="0" quotePrefix="0" xfId="0"/>
    <xf numFmtId="167" fontId="4" fillId="0" borderId="0" pivotButton="0" quotePrefix="0" xfId="0"/>
    <xf numFmtId="167" fontId="2" fillId="0" borderId="0" pivotButton="0" quotePrefix="0" xfId="0"/>
    <xf numFmtId="167" fontId="3" fillId="0" borderId="0" pivotButton="0" quotePrefix="0" xfId="0"/>
    <xf numFmtId="4" fontId="4" fillId="0" borderId="0" pivotButton="0" quotePrefix="0" xfId="0"/>
    <xf numFmtId="4" fontId="2" fillId="0" borderId="0" pivotButton="0" quotePrefix="0" xfId="0"/>
    <xf numFmtId="4" fontId="3" fillId="0" borderId="0" pivotButton="0" quotePrefix="0" xfId="0"/>
    <xf numFmtId="166" fontId="4" fillId="2" borderId="0" pivotButton="0" quotePrefix="0" xfId="0"/>
    <xf numFmtId="4" fontId="4" fillId="2" borderId="0" pivotButton="0" quotePrefix="0" xfId="0"/>
    <xf numFmtId="0" fontId="2" fillId="4" borderId="0" pivotButton="0" quotePrefix="0" xfId="0"/>
    <xf numFmtId="0" fontId="4" fillId="2" borderId="0" pivotButton="0" quotePrefix="0" xfId="0"/>
    <xf numFmtId="0" fontId="3" fillId="0" borderId="0" pivotButton="0" quotePrefix="0" xfId="0"/>
    <xf numFmtId="3" fontId="3" fillId="5" borderId="0" pivotButton="0" quotePrefix="0" xfId="0"/>
    <xf numFmtId="3" fontId="5" fillId="0" borderId="0" pivotButton="0" quotePrefix="0" xfId="0"/>
    <xf numFmtId="0" fontId="3" fillId="4" borderId="0" applyAlignment="1" pivotButton="0" quotePrefix="0" xfId="0">
      <alignment vertical="top" wrapText="1"/>
    </xf>
    <xf numFmtId="165" fontId="5" fillId="0" borderId="0" pivotButton="0" quotePrefix="0" xfId="0"/>
    <xf numFmtId="165" fontId="3" fillId="5" borderId="0" pivotButton="0" quotePrefix="0" xfId="0"/>
    <xf numFmtId="164" fontId="5" fillId="0" borderId="0" pivotButton="0" quotePrefix="0" xfId="0"/>
    <xf numFmtId="0" fontId="7" fillId="0" borderId="0" pivotButton="0" quotePrefix="0" xfId="0"/>
    <xf numFmtId="0" fontId="2" fillId="0" borderId="0" applyAlignment="1" pivotButton="0" quotePrefix="0" xfId="0">
      <alignment horizontal="center" vertical="top"/>
    </xf>
    <xf numFmtId="166" fontId="5" fillId="0" borderId="0" pivotButton="0" quotePrefix="0" xfId="0"/>
    <xf numFmtId="168" fontId="5" fillId="0" borderId="0" pivotButton="0" quotePrefix="0" xfId="0"/>
    <xf numFmtId="0" fontId="5" fillId="0" borderId="0" applyAlignment="1" pivotButton="0" quotePrefix="0" xfId="0">
      <alignment horizontal="center" vertical="top"/>
    </xf>
    <xf numFmtId="0" fontId="3" fillId="0" borderId="0" applyAlignment="1" pivotButton="0" quotePrefix="0" xfId="0">
      <alignment horizontal="center" vertical="top"/>
    </xf>
    <xf numFmtId="166" fontId="7" fillId="0" borderId="0" pivotButton="0" quotePrefix="0" xfId="0"/>
    <xf numFmtId="164" fontId="7" fillId="0" borderId="0" pivotButton="0" quotePrefix="0" xfId="0"/>
    <xf numFmtId="164" fontId="3" fillId="5" borderId="0" pivotButton="0" quotePrefix="0" xfId="0"/>
    <xf numFmtId="3" fontId="7" fillId="0" borderId="0" pivotButton="0" quotePrefix="0" xfId="0"/>
    <xf numFmtId="165" fontId="7" fillId="0" borderId="0" pivotButton="0" quotePrefix="0" xfId="0"/>
    <xf numFmtId="0" fontId="3" fillId="5" borderId="0" pivotButton="0" quotePrefix="0" xfId="0"/>
    <xf numFmtId="167" fontId="5" fillId="0" borderId="0" pivotButton="0" quotePrefix="0" xfId="0"/>
    <xf numFmtId="0" fontId="8" fillId="0" borderId="0" pivotButton="0" quotePrefix="0" xfId="0"/>
    <xf numFmtId="4" fontId="5" fillId="0" borderId="0" pivotButton="0" quotePrefix="0" xfId="0"/>
    <xf numFmtId="0" fontId="4" fillId="0" borderId="0" pivotButton="0" quotePrefix="0" xfId="0"/>
    <xf numFmtId="166" fontId="3" fillId="5" borderId="0" pivotButton="0" quotePrefix="0" xfId="0"/>
    <xf numFmtId="4" fontId="7" fillId="0" borderId="0" pivotButton="0" quotePrefix="0" xfId="0"/>
    <xf numFmtId="167" fontId="7" fillId="0" borderId="0" pivotButton="0" quotePrefix="0" xfId="0"/>
    <xf numFmtId="165" fontId="3" fillId="2" borderId="0" pivotButton="0" quotePrefix="0" xfId="0"/>
    <xf numFmtId="10" fontId="7" fillId="0" borderId="0" pivotButton="0" quotePrefix="0" xfId="0"/>
    <xf numFmtId="0" fontId="8" fillId="0" borderId="0" applyAlignment="1" pivotButton="0" quotePrefix="0" xfId="0">
      <alignment horizontal="center" vertical="top"/>
    </xf>
    <xf numFmtId="169" fontId="5" fillId="0" borderId="0" pivotButton="0" quotePrefix="0" xfId="0"/>
    <xf numFmtId="17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48"/>
  <sheetViews>
    <sheetView workbookViewId="0">
      <selection activeCell="A1" sqref="A1"/>
    </sheetView>
  </sheetViews>
  <sheetFormatPr baseColWidth="8" defaultRowHeight="15"/>
  <cols>
    <col width="3" customWidth="1" min="1" max="1"/>
    <col width="118" customWidth="1" min="2" max="2"/>
  </cols>
  <sheetData>
    <row r="1">
      <c r="B1" s="1" t="inlineStr">
        <is>
          <t>UK SME BANK — BOTTOM-UP UNIT ECONOMICS MODEL</t>
        </is>
      </c>
    </row>
    <row r="2">
      <c r="B2" s="2" t="inlineStr">
        <is>
          <t>MODEL VERSION: v1.7 · 22 August 2026 — check github.com/tmth-studio/sme-bank-models for the latest; the version history below tells you what changed since your download.</t>
        </is>
      </c>
    </row>
    <row r="4">
      <c r="B4" s="3" t="inlineStr">
        <is>
          <t>Version history</t>
        </is>
      </c>
    </row>
    <row r="5" ht="52" customHeight="1">
      <c r="B5" s="4" t="inlineStr">
        <is>
          <t>• v1.7 (22 Aug 2026) — operational leverage. Every cost line in the model scaled linearly with its driver, which forces a cost elasticity of exactly 1.0 and makes cost per customer flat at every scale. Allica Bank's own accounts put that elasticity at 0.808 across 2022-23 and 0.622 across 2023-24 — cost rises materially more slowly than the book. Inputs section O adds a cost scale elasticity and the customer count the per-customer rates are calibrated at; the head-office pools, the platform line and change-the-bank now scale by it. Default 1.0 reproduces v1.6 exactly. Tab 11 adds the out-of-sample test that measured it.</t>
        </is>
      </c>
    </row>
    <row r="6" ht="52" customHeight="1">
      <c r="B6" s="4" t="inlineStr">
        <is>
          <t>• v1.6 (22 Aug 2026) — validation and drivers. Tab 10 ELASTICITIES: every input bumped +1% and the workbook recalculated, giving the % change in PBT, cost:income, RoE and income. Only one input has an elasticity above 1 on profit — the term loan customer rate, at +1.25; reachable market and penetration are exactly +1.00 (pure scale); nothing else exceeds 0.53. Tab 11 BACKTEST against Allica Bank FY2023 audited accounts: the revenue engine reproduces a real bank's operating income to within 8%, and the cost engine under-predicts by 7x. Diagnosis: head-office cost was modelled purely per customer, which is a scale assumption disguised as a driver. Inputs section N therefore adds a fixed component to each head-office pool, defaulting to 0 so v1.5 results are unchanged.</t>
        </is>
      </c>
    </row>
    <row r="7" ht="52" customHeight="1">
      <c r="B7" s="4" t="inlineStr">
        <is>
          <t>• v1.5 (22 Aug 2026) — PROCESS LAYER on the Step 2 tabs. Tab 3 gains process columns M-T (process type, yield, attempts, automation, best-in-class intensity and yield, benchmark source, £ gap) and a HEAD-OFFICE PROCESS REGISTER of 22 processes already named in the tab 9 operational model but never costed. Yield inflates ATTEMPTS and never deflates outcomes — that is what stops it double-counting with the CEP layer's demand-side conversion. Head-office costs are carved OUT of the pools, so naming a process moves money from unallocated to attributed and the total never changes. New sheet 3b indexes every process to the numbers it moves, and imputes what each would have to become to hit a target cost:income. Mode OFF (default) = results identical to v1.4.</t>
        </is>
      </c>
    </row>
    <row r="8" ht="52" customHeight="1">
      <c r="B8" s="4" t="inlineStr">
        <is>
          <t>• v1.4 (22 Aug 2026) — CEP DEMAND LAYER. New sheet 1b derives the nine product penetrations and the customer count instead of asserting them: penetration = (lambda*c x L) / (1 + lambda*c x L), where lambda*c = category-entry-point events x presence x conversion and L is the holding life. Little's Law run forwards; no time axis is added and the model stays a steady-state snapshot. Ships deliberately EMPTY — every event/presence/conversion cell is blank and carries the cohort query that fills it, and any unpopulated product falls back to its hardcoded penetration. Mode OFF (default) = results identical to v1.3; CALIBRATE reports the won-event rate implied by today's assumptions and changes nothing.</t>
        </is>
      </c>
    </row>
    <row r="9" ht="40" customHeight="1">
      <c r="B9" s="4" t="inlineStr">
        <is>
          <t>• v1.3 (21 Aug 2026) — churn replacement is a costed activity end-to-end: new input cac_new (£240 acquisition marketing per new customer won, carved out of the corporate-centre pool — hq_oh £250→£222); driver-linked on tab 4, attributed to the current account (gateway product) on tab 6; 'value of preventing one churn' memo added to tab 6. Raising the churn input now inflates demand-generation cost, not just processing. Central PBT shifts &lt;£1k/unit (carve-out rounding).</t>
        </is>
      </c>
    </row>
    <row r="10" ht="28" customHeight="1">
      <c r="B10" s="4" t="inlineStr">
        <is>
          <t>• v1.2.1 (21 Aug 2026) — documentation only: added 'What period this models' to this Guide (steady-state annual snapshot, stationary book, churn replacement costed, transitions out of scope). No formula or input changes — results identical to v1.2.</t>
        </is>
      </c>
    </row>
    <row r="11" ht="28" customHeight="1">
      <c r="B11" s="4" t="inlineStr">
        <is>
          <t>• v1.2 (12 Aug 2026) — ranges, not points: every input carries Pessimistic/Central/Optimistic (direction-aware) with one scenario toggle driving the ACTIVE column; bands seeded only where benchmark evidence exists (BoE loan rates, Jefferies CoE, peer CET1, BoE SME PD, best-buy savings). Central results identical to v1.1.</t>
        </is>
      </c>
    </row>
    <row r="12" ht="28" customHeight="1">
      <c r="B12" s="4" t="inlineStr">
        <is>
          <t>• v1.1 (12 Aug 2026) — scenario-building granularity: Channel tag (digital-amenable/judgement) on every activity row (tab 3); per-product RM-held share inputs + RM/digital unit split columns (tab 1). Economics unchanged — tie-out and all product margins identical to v1.0.</t>
        </is>
      </c>
    </row>
    <row r="13" ht="28" customHeight="1">
      <c r="B13" s="4" t="inlineStr">
        <is>
          <t>• v1.0 (10 Aug 2026) — first published version: 9 tabs + flow register, FTP with liquidity/behavioural terms, fraud/FSCS/change-the-bank lines, segment-pod LMUs, bridge check.</t>
        </is>
      </c>
    </row>
    <row r="15">
      <c r="B15" s="3" t="inlineStr">
        <is>
          <t>What this is</t>
        </is>
      </c>
    </row>
    <row r="16" ht="39" customHeight="1">
      <c r="B16" s="4" t="inlineStr">
        <is>
          <t>• A bottom-up financial model of one regional business centre of an established UK SME bank at steady state, built to show unit costs and unit revenues across the full product suite: current accounts, instant savings, notice &amp; fixed deposits, overdrafts, term loans, asset finance, invoice finance, credit cards, and payments &amp; FX.</t>
        </is>
      </c>
    </row>
    <row r="17" ht="39" customHeight="1">
      <c r="B17" s="4" t="inlineStr">
        <is>
          <t>• It follows the Simanis / IVE bottom-up methodology ('Running the Right Numbers'): model the last-mile operating unit, derive every cost from activity drivers (transaction intensity I and customer load L), build whole costs, and check the price/margin covers them including a competitive return on capital.</t>
        </is>
      </c>
    </row>
    <row r="19">
      <c r="B19" s="3" t="inlineStr">
        <is>
          <t>What period this models</t>
        </is>
      </c>
    </row>
    <row r="20" ht="26" customHeight="1">
      <c r="B20" s="4" t="inlineStr">
        <is>
          <t>• One representative operating year at steady state. Balances are annual averages; rates and volumes are annual. There is no time axis, no ramp and no vintage cohorts — the model is a snapshot, not a forecast.</t>
        </is>
      </c>
    </row>
    <row r="21" ht="78" customHeight="1">
      <c r="B21" s="4" t="inlineStr">
        <is>
          <t>• The book is stationary but not free to hold flat: customers churn (12% p.a. input) and the model costs their replacement end-to-end — acquisition marketing per new customer won (cac_new, carved from the corporate-centre pool), onboarding hours, KYC per new customer and RM origination effort are all driver-linked (Simanis: at-scale operations include 'replacement of customer churn'). Only residual brand &amp; joint marketing remains pool-costed. The 'value of preventing one churn' memo on tab 6 prices retention: contribution annuity over remaining relationship life + the avoided replacement cost.</t>
        </is>
      </c>
    </row>
    <row r="22" ht="26" customHeight="1">
      <c r="B22" s="4" t="inlineStr">
        <is>
          <t>• The capital charge (cost of equity on allocated capital) is the incumbent analogue of Simanis's start-up-cost amortisation: capital earns its required return inside the steady-state P&amp;L.</t>
        </is>
      </c>
    </row>
    <row r="23" ht="52" customHeight="1">
      <c r="B23" s="4" t="inlineStr">
        <is>
          <t>• Out of scope by design: transition paths. The cost and cash shape of moving between steady states — digital migration, maturity glide, behaviour-change programmes and their CAC/incentives — belongs in a scenario layer built ON TOP of this base (comparative statics between two runs of this model, plus a separate transition-cost estimate). The base model never carries scenario logic.</t>
        </is>
      </c>
    </row>
    <row r="25">
      <c r="B25" s="3" t="inlineStr">
        <is>
          <t>How the tabs map to the methodology</t>
        </is>
      </c>
    </row>
    <row r="26" ht="24" customHeight="1">
      <c r="B26" s="4" t="inlineStr">
        <is>
          <t>• Inputs — every assumption in one place, with sources. Edit blue cells; yellow cells are the biggest levers.</t>
        </is>
      </c>
    </row>
    <row r="27" ht="26" customHeight="1">
      <c r="B27" s="4" t="inlineStr">
        <is>
          <t>• 1. Customers — Step 1: bound the operating unit. Reachable market (R) × penetration (P) → customers → product volumes and balances.</t>
        </is>
      </c>
    </row>
    <row r="28" ht="26" customHeight="1">
      <c r="B28" s="4" t="inlineStr">
        <is>
          <t>• 2. Revenues — unit revenue per product: interest margins measured against internal funds transfer prices (Bank Rate for floating, + premium for term), plus fees.</t>
        </is>
      </c>
    </row>
    <row r="29" ht="39" customHeight="1">
      <c r="B29" s="4" t="inlineStr">
        <is>
          <t>• 3. HR &amp; Activity — Step 2: every FTE derived from activity drivers (hours per onboarding, review, renewal…) — nothing is assumed as headcount. From v1.5 this tab is also the PROCESS REGISTER (columns M-T), with the head-office process register below it.</t>
        </is>
      </c>
    </row>
    <row r="30" ht="26" customHeight="1">
      <c r="B30" s="4" t="inlineStr">
        <is>
          <t>• 1b. Demand &amp; CEPs — the demand layer (v1.4). Penetration is derived, not assumed. Mode cell on Inputs section L: OFF reproduces v1.3, CALIBRATE reports the implied event rates, LIVE derives.</t>
        </is>
      </c>
    </row>
    <row r="31" ht="39" customHeight="1">
      <c r="B31" s="4" t="inlineStr">
        <is>
          <t>• 3b. Process Index — derived view, no assumptions. Every process with its flow, product, owner, the numbers it moves, its cost and its gap to best in class, plus a ranked worst-gap list and the top-down benchmark imputation. Answers 'which process do I improve to move this number?'</t>
        </is>
      </c>
    </row>
    <row r="32" ht="52" customHeight="1">
      <c r="B32" s="4" t="inlineStr">
        <is>
          <t>• 4. Running Costs — Step 2 (cont.): direct running costs plus the share of head-office costs. The attribution memo reads the tab 3 process register and reports the share of the cost base with a named process owner — the model's own assessment of how much of its cost it actually understands. What remains in UNALLOCATED JOINT COSTS is cost with no process to improve.</t>
        </is>
      </c>
    </row>
    <row r="33" ht="26" customHeight="1">
      <c r="B33" s="4" t="inlineStr">
        <is>
          <t>• 5. Risk &amp; Capital — Step 3: expected credit losses (PD × LGD), risk-weighted assets, allocated equity, and the required return on it.</t>
        </is>
      </c>
    </row>
    <row r="34" ht="91" customHeight="1">
      <c r="B34" s="4" t="inlineStr">
        <is>
          <t>• 6. Unit Economics — Steps 4–5: per-product unit costs and revenues on an activity-based costing basis, taken exactly as far as causality runs (the source methodology's own rule: link costs to customers and transactions 'whenever possible'). Costs with real drivers — servicing hours, RM effort per origination, staff-time-driven supervision, per-account and per-facility infrastructure — are attributed to products; genuinely joint costs (brand, exec, finance, platform build) are NOT forced into products but held as an unallocated hurdle that total contribution must clear, with a full-absorption memo showing the source doc's simple-division treatment. Product decisions should run on contribution.</t>
        </is>
      </c>
    </row>
    <row r="35" ht="26" customHeight="1">
      <c r="B35" s="4" t="inlineStr">
        <is>
          <t>• 7. P&amp;L — the whole-cost P&amp;L of the operating unit at steady state, key ratios vs industry benchmarks, and the Simanis cost-driver table.</t>
        </is>
      </c>
    </row>
    <row r="36" ht="26" customHeight="1">
      <c r="B36" s="4" t="inlineStr">
        <is>
          <t>• 8. Org Structure — the whole-bank organisation implied by the model: front-line FTEs from activity drivers × number of centres, head-office FTEs backed out of the per-customer head-office cost allocations.</t>
        </is>
      </c>
    </row>
    <row r="37" ht="52" customHeight="1">
      <c r="B37" s="4" t="inlineStr">
        <is>
          <t>• 9. Flow Register — one row per flow on the operational model map: component type (CP/WP/PP/PartP), core/support/enabling, direction, digital/physical medium, the direct/administrative/managerial roles accountable, and the BIAN service domains. Ends with a BIAN completeness checklist. This is where the map, the ARM and BIAN reconcile.</t>
        </is>
      </c>
    </row>
    <row r="39">
      <c r="B39" s="3" t="inlineStr">
        <is>
          <t>Colour legend</t>
        </is>
      </c>
    </row>
    <row r="40" ht="26" customHeight="1">
      <c r="B40" s="4" t="inlineStr">
        <is>
          <t>• Blue = hardcoded input (edit these) · Yellow fill = key assumption / sensitivity lever · Black = formula · Green = link to another sheet.</t>
        </is>
      </c>
    </row>
    <row r="42">
      <c r="B42" s="3" t="inlineStr">
        <is>
          <t>Reading the results</t>
        </is>
      </c>
    </row>
    <row r="43" ht="52" customHeight="1">
      <c r="B43" s="4" t="inlineStr">
        <is>
          <t>• Deposit products earn the spread between the transfer price and the rate paid; lending earns the customer rate minus the transfer price minus expected losses. Capital-heavy, labour-heavy products (term loans) can show thin or negative economic profit — consistent with the Bank of England's 2026 finding that SME lending earns the lowest product-level returns, driven by impairments and per-borrower servicing costs.</t>
        </is>
      </c>
    </row>
    <row r="44" ht="39" customHeight="1">
      <c r="B44" s="4" t="inlineStr">
        <is>
          <t>• Use the cost-driver table on the P&amp;L tab to find leverage points, then trace them to transaction intensity (I) or customer load (L) assumptions on the Inputs tab — e.g. automating underwriting hours, raising RM portfolio size, or shifting servicing to digital.</t>
        </is>
      </c>
    </row>
    <row r="46">
      <c r="B46" s="3" t="inlineStr">
        <is>
          <t>Caveats</t>
        </is>
      </c>
    </row>
    <row r="47" ht="39" customHeight="1">
      <c r="B47" s="4" t="inlineStr">
        <is>
          <t>• Benchmarks are as of August 2026 (Bank Rate 3.75%; BoE effective new SME loan rate ~6.3%; commercial interchange 1.65–1.90%; invoice finance discount base+1–3%). Items marked 'Assumption' are illustrative and should be replaced with your own data.</t>
        </is>
      </c>
    </row>
    <row r="48" ht="65" customHeight="1">
      <c r="B48" s="4" t="inlineStr">
        <is>
          <t>• The FTP now carries an explicit liquidity charge (buffer × drag) and a behavioural credit for stable deposits, shown as memos on the Revenues tab; it is still a single curve, not a full behavioural-maturity model. Fraud &amp; payment losses, the FSCS levy, collateral administration &amp; recoveries, and change-the-bank spend are now modelled explicitly. Operational-risk RWA is proxied at 15% of gross income; head-office and change costs are allocated per customer.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1:H199"/>
  <sheetViews>
    <sheetView workbookViewId="0">
      <pane ySplit="3" topLeftCell="A4" activePane="bottomLeft" state="frozen"/>
      <selection pane="bottomLeft" activeCell="A1" sqref="A1"/>
    </sheetView>
  </sheetViews>
  <sheetFormatPr baseColWidth="8" defaultRowHeight="15"/>
  <cols>
    <col width="2" customWidth="1" min="1" max="1"/>
    <col width="52" customWidth="1" min="2" max="2"/>
    <col width="13" customWidth="1" min="3" max="3"/>
    <col width="12" customWidth="1" min="4" max="4"/>
    <col width="12" customWidth="1" min="5" max="5"/>
    <col width="13" customWidth="1" min="6" max="6"/>
    <col width="10" customWidth="1" min="7" max="7"/>
    <col width="90" customWidth="1" min="8" max="8"/>
  </cols>
  <sheetData>
    <row r="1">
      <c r="B1" s="1" t="inlineStr">
        <is>
          <t>INPUTS &amp; ASSUMPTIONS — UK SME BANK BOTTOM-UP MODEL</t>
        </is>
      </c>
    </row>
    <row r="2">
      <c r="B2" s="5" t="inlineStr">
        <is>
          <t>Edit blue cells. Yellow = highest-impact levers. RANGES: every input carries Pessimistic (D) / Central (C) / Optimistic (E) — direction-aware, not numeric low/high; the model runs on ACTIVE (F) via the scenario toggle. Bands are seeded only where benchmark evidence exists; when adapting with your own data, record your uncertainty in D/E rather than flattening to a point.</t>
        </is>
      </c>
    </row>
    <row r="4">
      <c r="B4" s="2" t="inlineStr">
        <is>
          <t>SCENARIO TOGGLE (1 = pessimistic · 2 = central · 3 = optimistic)</t>
        </is>
      </c>
      <c r="C4" s="6" t="n">
        <v>2</v>
      </c>
    </row>
    <row r="6">
      <c r="B6" s="7" t="inlineStr">
        <is>
          <t>A. MARKET &amp; FUNDING RATES</t>
        </is>
      </c>
      <c r="C6" s="8" t="inlineStr"/>
      <c r="D6" s="8" t="inlineStr"/>
      <c r="E6" s="8" t="inlineStr"/>
    </row>
    <row r="7">
      <c r="B7" s="9" t="inlineStr">
        <is>
          <t>Item</t>
        </is>
      </c>
      <c r="C7" s="9" t="inlineStr">
        <is>
          <t>Central</t>
        </is>
      </c>
      <c r="D7" s="9" t="inlineStr">
        <is>
          <t>Pessimistic</t>
        </is>
      </c>
      <c r="E7" s="9" t="inlineStr">
        <is>
          <t>Optimistic</t>
        </is>
      </c>
      <c r="F7" s="9" t="inlineStr">
        <is>
          <t>ACTIVE</t>
        </is>
      </c>
      <c r="G7" s="9" t="inlineStr">
        <is>
          <t>Unit</t>
        </is>
      </c>
      <c r="H7" s="9" t="inlineStr">
        <is>
          <t>Source / note</t>
        </is>
      </c>
    </row>
    <row r="8">
      <c r="B8" s="10" t="inlineStr">
        <is>
          <t>Bank of England Bank Rate</t>
        </is>
      </c>
      <c r="C8" s="11" t="n">
        <v>0.0375</v>
      </c>
      <c r="D8" s="12" t="n">
        <v>0.0375</v>
      </c>
      <c r="E8" s="12" t="n">
        <v>0.0375</v>
      </c>
      <c r="F8" s="13">
        <f>CHOOSE('Inputs'!$C$4,D8,C8,E8)</f>
        <v/>
      </c>
      <c r="G8" s="14" t="inlineStr">
        <is>
          <t>% p.a.</t>
        </is>
      </c>
      <c r="H8" s="5" t="inlineStr">
        <is>
          <t>BoE Bank Rate held at 3.75%, July 2026 (bankofengland.co.uk; moneysavingexpert.com)</t>
        </is>
      </c>
    </row>
    <row r="9">
      <c r="B9" s="10" t="inlineStr">
        <is>
          <t>Term funding premium over Bank Rate</t>
        </is>
      </c>
      <c r="C9" s="15" t="n">
        <v>0.006</v>
      </c>
      <c r="D9" s="12" t="n">
        <v>0.006</v>
      </c>
      <c r="E9" s="12" t="n">
        <v>0.006</v>
      </c>
      <c r="F9" s="13">
        <f>CHOOSE('Inputs'!$C$4,D9,C9,E9)</f>
        <v/>
      </c>
      <c r="G9" s="14" t="inlineStr">
        <is>
          <t>% p.a.</t>
        </is>
      </c>
      <c r="H9" s="5" t="inlineStr">
        <is>
          <t>Assumption: cost of term funding above base — 1yr fixed business deposits pay 4.2–4.6% vs base 3.75% (businessexpert.co.uk, Jul 2026)</t>
        </is>
      </c>
    </row>
    <row r="10">
      <c r="B10" s="10" t="inlineStr">
        <is>
          <t>Funds transfer price — floating (= Bank Rate)</t>
        </is>
      </c>
      <c r="C10" s="16">
        <f>'Inputs'!$F$8</f>
        <v/>
      </c>
      <c r="F10" s="16">
        <f>C10</f>
        <v/>
      </c>
      <c r="G10" s="14" t="inlineStr">
        <is>
          <t>% p.a.</t>
        </is>
      </c>
      <c r="H10" s="5" t="inlineStr">
        <is>
          <t>Internal transfer price credited to deposits / charged to floating lending</t>
        </is>
      </c>
    </row>
    <row r="11">
      <c r="B11" s="10" t="inlineStr">
        <is>
          <t>Funds transfer price — term (= Bank Rate + premium)</t>
        </is>
      </c>
      <c r="C11" s="16">
        <f>'Inputs'!$F$8+'Inputs'!$F$9</f>
        <v/>
      </c>
      <c r="F11" s="16">
        <f>C11</f>
        <v/>
      </c>
      <c r="G11" s="14" t="inlineStr">
        <is>
          <t>% p.a.</t>
        </is>
      </c>
      <c r="H11" s="5" t="inlineStr">
        <is>
          <t>Charged to term/fixed-rate lending; credited to term deposits</t>
        </is>
      </c>
    </row>
    <row r="12">
      <c r="B12" s="7" t="inlineStr">
        <is>
          <t>A2. LIQUIDITY &amp; FUNDING (explicit FTP: liquidity charge + behavioural deposit credit)</t>
        </is>
      </c>
      <c r="C12" s="8" t="inlineStr"/>
      <c r="D12" s="8" t="inlineStr"/>
      <c r="E12" s="8" t="inlineStr"/>
    </row>
    <row r="13">
      <c r="B13" s="9" t="inlineStr">
        <is>
          <t>Item</t>
        </is>
      </c>
      <c r="C13" s="9" t="inlineStr">
        <is>
          <t>Central</t>
        </is>
      </c>
      <c r="D13" s="9" t="inlineStr">
        <is>
          <t>Pessimistic</t>
        </is>
      </c>
      <c r="E13" s="9" t="inlineStr">
        <is>
          <t>Optimistic</t>
        </is>
      </c>
      <c r="F13" s="9" t="inlineStr">
        <is>
          <t>ACTIVE</t>
        </is>
      </c>
      <c r="G13" s="9" t="inlineStr">
        <is>
          <t>Unit</t>
        </is>
      </c>
      <c r="H13" s="9" t="inlineStr">
        <is>
          <t>Source / note</t>
        </is>
      </c>
    </row>
    <row r="14">
      <c r="B14" s="10" t="inlineStr">
        <is>
          <t>Liquidity buffer held against deposits (LCR / HQLA)</t>
        </is>
      </c>
      <c r="C14" s="17" t="n">
        <v>0.15</v>
      </c>
      <c r="D14" s="18" t="n">
        <v>0.15</v>
      </c>
      <c r="E14" s="18" t="n">
        <v>0.15</v>
      </c>
      <c r="F14" s="19">
        <f>CHOOSE('Inputs'!$C$4,D14,C14,E14)</f>
        <v/>
      </c>
      <c r="G14" s="14" t="inlineStr">
        <is>
          <t>% of deposits</t>
        </is>
      </c>
      <c r="H14" s="5" t="inlineStr">
        <is>
          <t>Assumption: high-quality liquid assets held against deposit-outflow risk</t>
        </is>
      </c>
    </row>
    <row r="15">
      <c r="B15" s="10" t="inlineStr">
        <is>
          <t>Yield give-up on the liquidity buffer vs Bank Rate</t>
        </is>
      </c>
      <c r="C15" s="11" t="n">
        <v>0.01</v>
      </c>
      <c r="D15" s="12" t="n">
        <v>0.01</v>
      </c>
      <c r="E15" s="12" t="n">
        <v>0.01</v>
      </c>
      <c r="F15" s="13">
        <f>CHOOSE('Inputs'!$C$4,D15,C15,E15)</f>
        <v/>
      </c>
      <c r="G15" s="14" t="inlineStr">
        <is>
          <t>% p.a.</t>
        </is>
      </c>
      <c r="H15" s="5" t="inlineStr">
        <is>
          <t>Assumption: HQLA (gilts, central-bank reserves) yield below Bank Rate — the cost of holding the buffer</t>
        </is>
      </c>
    </row>
    <row r="16">
      <c r="B16" s="10" t="inlineStr">
        <is>
          <t>Behavioural term credit for stable non-maturing deposits</t>
        </is>
      </c>
      <c r="C16" s="11" t="n">
        <v>0.005</v>
      </c>
      <c r="D16" s="12" t="n">
        <v>0.005</v>
      </c>
      <c r="E16" s="12" t="n">
        <v>0.005</v>
      </c>
      <c r="F16" s="13">
        <f>CHOOSE('Inputs'!$C$4,D16,C16,E16)</f>
        <v/>
      </c>
      <c r="G16" s="14" t="inlineStr">
        <is>
          <t>% p.a.</t>
        </is>
      </c>
      <c r="H16" s="5" t="inlineStr">
        <is>
          <t>Assumption: sticky current-account and savings balances behave long, so earn a term uplift over the float FTP</t>
        </is>
      </c>
    </row>
    <row r="17">
      <c r="B17" s="10" t="inlineStr">
        <is>
          <t>FTP credited to stable deposits (float − liquidity charge + behavioural credit)</t>
        </is>
      </c>
      <c r="C17" s="16">
        <f>'Inputs'!$F$10-'Inputs'!$F$14*'Inputs'!$F$15+'Inputs'!$F$16</f>
        <v/>
      </c>
      <c r="F17" s="16">
        <f>C17</f>
        <v/>
      </c>
      <c r="G17" s="14" t="inlineStr">
        <is>
          <t>% p.a.</t>
        </is>
      </c>
      <c r="H17" s="5" t="inlineStr">
        <is>
          <t>Applied to current accounts and instant savings — makes the deposit-funding value explicit</t>
        </is>
      </c>
    </row>
    <row r="18">
      <c r="B18" s="10" t="inlineStr">
        <is>
          <t>FTP credited to term deposits (term − liquidity charge)</t>
        </is>
      </c>
      <c r="C18" s="16">
        <f>'Inputs'!$F$11-'Inputs'!$F$14*'Inputs'!$F$15</f>
        <v/>
      </c>
      <c r="F18" s="16">
        <f>C18</f>
        <v/>
      </c>
      <c r="G18" s="14" t="inlineStr">
        <is>
          <t>% p.a.</t>
        </is>
      </c>
      <c r="H18" s="5" t="inlineStr">
        <is>
          <t>Applied to notice &amp; fixed deposits (already termed; no behavioural uplift)</t>
        </is>
      </c>
    </row>
    <row r="19">
      <c r="B19" s="7" t="inlineStr">
        <is>
          <t>B. OPERATING UNIT — REGIONAL BUSINESS CENTRE (Simanis Step 1: bounding)</t>
        </is>
      </c>
      <c r="C19" s="8" t="inlineStr"/>
      <c r="D19" s="8" t="inlineStr"/>
      <c r="E19" s="8" t="inlineStr"/>
    </row>
    <row r="20">
      <c r="B20" s="9" t="inlineStr">
        <is>
          <t>Item</t>
        </is>
      </c>
      <c r="C20" s="9" t="inlineStr">
        <is>
          <t>Central</t>
        </is>
      </c>
      <c r="D20" s="9" t="inlineStr">
        <is>
          <t>Pessimistic</t>
        </is>
      </c>
      <c r="E20" s="9" t="inlineStr">
        <is>
          <t>Optimistic</t>
        </is>
      </c>
      <c r="F20" s="9" t="inlineStr">
        <is>
          <t>ACTIVE</t>
        </is>
      </c>
      <c r="G20" s="9" t="inlineStr">
        <is>
          <t>Unit</t>
        </is>
      </c>
      <c r="H20" s="9" t="inlineStr">
        <is>
          <t>Source / note</t>
        </is>
      </c>
    </row>
    <row r="21">
      <c r="B21" s="10" t="inlineStr">
        <is>
          <t>Reachable SMEs in region (R)</t>
        </is>
      </c>
      <c r="C21" s="20" t="n">
        <v>18750</v>
      </c>
      <c r="D21" s="21" t="n">
        <v>18750</v>
      </c>
      <c r="E21" s="21" t="n">
        <v>18750</v>
      </c>
      <c r="F21" s="22">
        <f>CHOOSE('Inputs'!$C$4,D21,C21,E21)</f>
        <v/>
      </c>
      <c r="G21" s="14" t="inlineStr">
        <is>
          <t>businesses</t>
        </is>
      </c>
      <c r="H21" s="5" t="inlineStr">
        <is>
          <t>Catchment per centre: UK's ~5.6m businesses (DBT Business Population Estimates) ÷ 300 centres of national coverage</t>
        </is>
      </c>
    </row>
    <row r="22">
      <c r="B22" s="10" t="inlineStr">
        <is>
          <t>Steady-state penetration (P)</t>
        </is>
      </c>
      <c r="C22" s="23" t="n">
        <v>0.16</v>
      </c>
      <c r="D22" s="18" t="n">
        <v>0.16</v>
      </c>
      <c r="E22" s="18" t="n">
        <v>0.16</v>
      </c>
      <c r="F22" s="19">
        <f>CHOOSE('Inputs'!$C$4,D22,C22,E22)</f>
        <v/>
      </c>
      <c r="G22" s="14" t="inlineStr">
        <is>
          <t>% of reachable</t>
        </is>
      </c>
      <c r="H22" s="5" t="inlineStr">
        <is>
          <t>Set so 300 centres × 3,000 customers = 900,000 BCA customers — a ~16% national SME market share, i.e. big-4 incumbent territory (Barclays/Lloyds each serve ~1m+ business customers)</t>
        </is>
      </c>
    </row>
    <row r="23">
      <c r="B23" s="10" t="inlineStr">
        <is>
          <t>Annual customer churn (replaced at steady state)</t>
        </is>
      </c>
      <c r="C23" s="17" t="n">
        <v>0.12</v>
      </c>
      <c r="D23" s="18" t="n">
        <v>0.12</v>
      </c>
      <c r="E23" s="18" t="n">
        <v>0.12</v>
      </c>
      <c r="F23" s="19">
        <f>CHOOSE('Inputs'!$C$4,D23,C23,E23)</f>
        <v/>
      </c>
      <c r="G23" s="14" t="inlineStr">
        <is>
          <t>% p.a.</t>
        </is>
      </c>
      <c r="H23" s="5" t="inlineStr">
        <is>
          <t>Assumption: SME banking attrition; drives onboarding workload</t>
        </is>
      </c>
    </row>
    <row r="24">
      <c r="B24" s="10" t="inlineStr">
        <is>
          <t>Share of customers that are relationship-managed</t>
        </is>
      </c>
      <c r="C24" s="17" t="n">
        <v>0.15</v>
      </c>
      <c r="D24" s="18" t="n">
        <v>0.15</v>
      </c>
      <c r="E24" s="18" t="n">
        <v>0.15</v>
      </c>
      <c r="F24" s="19">
        <f>CHOOSE('Inputs'!$C$4,D24,C24,E24)</f>
        <v/>
      </c>
      <c r="G24" s="14" t="inlineStr">
        <is>
          <t>%</t>
        </is>
      </c>
      <c r="H24" s="5" t="inlineStr">
        <is>
          <t>SEGMENT BOUNDARY: larger SMEs (by turnover/complexity) get a named RM; the small-business mass is served digitally</t>
        </is>
      </c>
    </row>
    <row r="25">
      <c r="B25" s="10" t="inlineStr">
        <is>
          <t>Customers per relationship manager (L)</t>
        </is>
      </c>
      <c r="C25" s="24" t="n">
        <v>120</v>
      </c>
      <c r="D25" s="21" t="n">
        <v>120</v>
      </c>
      <c r="E25" s="21" t="n">
        <v>120</v>
      </c>
      <c r="F25" s="22">
        <f>CHOOSE('Inputs'!$C$4,D25,C25,E25)</f>
        <v/>
      </c>
      <c r="G25" s="14" t="inlineStr">
        <is>
          <t>customers</t>
        </is>
      </c>
      <c r="H25" s="5" t="inlineStr">
        <is>
          <t>Assumption: RM portfolio size (customer load)</t>
        </is>
      </c>
    </row>
    <row r="26">
      <c r="B26" s="10" t="inlineStr">
        <is>
          <t>RMs per relationship pod</t>
        </is>
      </c>
      <c r="C26" s="20" t="n">
        <v>6</v>
      </c>
      <c r="D26" s="21" t="n">
        <v>6</v>
      </c>
      <c r="E26" s="21" t="n">
        <v>6</v>
      </c>
      <c r="F26" s="22">
        <f>CHOOSE('Inputs'!$C$4,D26,C26,E26)</f>
        <v/>
      </c>
      <c r="G26" s="14" t="inlineStr">
        <is>
          <t>RMs</t>
        </is>
      </c>
      <c r="H26" s="5" t="inlineStr">
        <is>
          <t>Segment-bounded LMU: a relationship pod = pod lead + RMs + analysts; capacity = RMs × portfolio</t>
        </is>
      </c>
    </row>
    <row r="27">
      <c r="B27" s="10" t="inlineStr">
        <is>
          <t>Service &amp; ops FTE per digital service pod</t>
        </is>
      </c>
      <c r="C27" s="20" t="n">
        <v>10</v>
      </c>
      <c r="D27" s="21" t="n">
        <v>10</v>
      </c>
      <c r="E27" s="21" t="n">
        <v>10</v>
      </c>
      <c r="F27" s="22">
        <f>CHOOSE('Inputs'!$C$4,D27,C27,E27)</f>
        <v/>
      </c>
      <c r="G27" s="14" t="inlineStr">
        <is>
          <t>FTE</t>
        </is>
      </c>
      <c r="H27" s="5" t="inlineStr">
        <is>
          <t>Segment-bounded LMU: a digital pod serves the small-business segment via app + contact centre</t>
        </is>
      </c>
    </row>
    <row r="28">
      <c r="B28" s="7" t="inlineStr">
        <is>
          <t>C. PRODUCT HOLDINGS &amp; BALANCES (per customer)</t>
        </is>
      </c>
      <c r="C28" s="8" t="inlineStr"/>
      <c r="D28" s="8" t="inlineStr"/>
      <c r="E28" s="8" t="inlineStr"/>
    </row>
    <row r="29">
      <c r="B29" s="9" t="inlineStr">
        <is>
          <t>Item</t>
        </is>
      </c>
      <c r="C29" s="9" t="inlineStr">
        <is>
          <t>Central</t>
        </is>
      </c>
      <c r="D29" s="9" t="inlineStr">
        <is>
          <t>Pessimistic</t>
        </is>
      </c>
      <c r="E29" s="9" t="inlineStr">
        <is>
          <t>Optimistic</t>
        </is>
      </c>
      <c r="F29" s="9" t="inlineStr">
        <is>
          <t>ACTIVE</t>
        </is>
      </c>
      <c r="G29" s="9" t="inlineStr">
        <is>
          <t>Unit</t>
        </is>
      </c>
      <c r="H29" s="9" t="inlineStr">
        <is>
          <t>Source / note</t>
        </is>
      </c>
    </row>
    <row r="30">
      <c r="B30" s="10" t="inlineStr">
        <is>
          <t>Business current account — penetration</t>
        </is>
      </c>
      <c r="C30" s="17" t="n">
        <v>1</v>
      </c>
      <c r="D30" s="18" t="n">
        <v>1</v>
      </c>
      <c r="E30" s="18" t="n">
        <v>1</v>
      </c>
      <c r="F30" s="19">
        <f>CHOOSE('Inputs'!$C$4,D30,C30,E30)</f>
        <v/>
      </c>
      <c r="G30" s="14" t="inlineStr">
        <is>
          <t>% of customers</t>
        </is>
      </c>
      <c r="H30" s="5" t="inlineStr">
        <is>
          <t>Anchor product: every customer holds a BCA</t>
        </is>
      </c>
    </row>
    <row r="31">
      <c r="B31" s="10" t="inlineStr">
        <is>
          <t>BCA — average credit balance</t>
        </is>
      </c>
      <c r="C31" s="25" t="n">
        <v>18000</v>
      </c>
      <c r="D31" s="25" t="n">
        <v>14000</v>
      </c>
      <c r="E31" s="25" t="n">
        <v>22000</v>
      </c>
      <c r="F31" s="26">
        <f>CHOOSE('Inputs'!$C$4,D31,C31,E31)</f>
        <v/>
      </c>
      <c r="G31" s="14" t="inlineStr">
        <is>
          <t>£/account</t>
        </is>
      </c>
      <c r="H31" s="5" t="inlineStr">
        <is>
          <t>Assumption — NO public benchmark exists (top internal-validation item); wide band reflects that</t>
        </is>
      </c>
    </row>
    <row r="32">
      <c r="B32" s="10" t="inlineStr">
        <is>
          <t>Instant-access savings — penetration</t>
        </is>
      </c>
      <c r="C32" s="17" t="n">
        <v>0.4</v>
      </c>
      <c r="D32" s="18" t="n">
        <v>0.4</v>
      </c>
      <c r="E32" s="18" t="n">
        <v>0.4</v>
      </c>
      <c r="F32" s="19">
        <f>CHOOSE('Inputs'!$C$4,D32,C32,E32)</f>
        <v/>
      </c>
      <c r="G32" s="14" t="inlineStr">
        <is>
          <t>%</t>
        </is>
      </c>
      <c r="H32" s="5" t="inlineStr">
        <is>
          <t>Assumption</t>
        </is>
      </c>
    </row>
    <row r="33">
      <c r="B33" s="10" t="inlineStr">
        <is>
          <t>Instant-access savings — average balance</t>
        </is>
      </c>
      <c r="C33" s="27" t="n">
        <v>30000</v>
      </c>
      <c r="D33" s="28" t="n">
        <v>30000</v>
      </c>
      <c r="E33" s="28" t="n">
        <v>30000</v>
      </c>
      <c r="F33" s="26">
        <f>CHOOSE('Inputs'!$C$4,D33,C33,E33)</f>
        <v/>
      </c>
      <c r="G33" s="14" t="inlineStr">
        <is>
          <t>£/account</t>
        </is>
      </c>
      <c r="H33" s="5" t="inlineStr">
        <is>
          <t>Assumption</t>
        </is>
      </c>
    </row>
    <row r="34">
      <c r="B34" s="10" t="inlineStr">
        <is>
          <t>Notice &amp; fixed deposits — penetration</t>
        </is>
      </c>
      <c r="C34" s="17" t="n">
        <v>0.15</v>
      </c>
      <c r="D34" s="18" t="n">
        <v>0.15</v>
      </c>
      <c r="E34" s="18" t="n">
        <v>0.15</v>
      </c>
      <c r="F34" s="19">
        <f>CHOOSE('Inputs'!$C$4,D34,C34,E34)</f>
        <v/>
      </c>
      <c r="G34" s="14" t="inlineStr">
        <is>
          <t>%</t>
        </is>
      </c>
      <c r="H34" s="5" t="inlineStr">
        <is>
          <t>Assumption</t>
        </is>
      </c>
    </row>
    <row r="35">
      <c r="B35" s="10" t="inlineStr">
        <is>
          <t>Notice &amp; fixed deposits — average balance</t>
        </is>
      </c>
      <c r="C35" s="27" t="n">
        <v>75000</v>
      </c>
      <c r="D35" s="28" t="n">
        <v>75000</v>
      </c>
      <c r="E35" s="28" t="n">
        <v>75000</v>
      </c>
      <c r="F35" s="26">
        <f>CHOOSE('Inputs'!$C$4,D35,C35,E35)</f>
        <v/>
      </c>
      <c r="G35" s="14" t="inlineStr">
        <is>
          <t>£/account</t>
        </is>
      </c>
      <c r="H35" s="5" t="inlineStr">
        <is>
          <t>Assumption</t>
        </is>
      </c>
    </row>
    <row r="36">
      <c r="B36" s="10" t="inlineStr">
        <is>
          <t>Overdraft — penetration</t>
        </is>
      </c>
      <c r="C36" s="17" t="n">
        <v>0.25</v>
      </c>
      <c r="D36" s="18" t="n">
        <v>0.25</v>
      </c>
      <c r="E36" s="18" t="n">
        <v>0.25</v>
      </c>
      <c r="F36" s="19">
        <f>CHOOSE('Inputs'!$C$4,D36,C36,E36)</f>
        <v/>
      </c>
      <c r="G36" s="14" t="inlineStr">
        <is>
          <t>%</t>
        </is>
      </c>
      <c r="H36" s="5" t="inlineStr">
        <is>
          <t>Assumption: share of customers with a facility</t>
        </is>
      </c>
    </row>
    <row r="37">
      <c r="B37" s="10" t="inlineStr">
        <is>
          <t>Overdraft — average limit</t>
        </is>
      </c>
      <c r="C37" s="27" t="n">
        <v>15000</v>
      </c>
      <c r="D37" s="28" t="n">
        <v>15000</v>
      </c>
      <c r="E37" s="28" t="n">
        <v>15000</v>
      </c>
      <c r="F37" s="26">
        <f>CHOOSE('Inputs'!$C$4,D37,C37,E37)</f>
        <v/>
      </c>
      <c r="G37" s="14" t="inlineStr">
        <is>
          <t>£/facility</t>
        </is>
      </c>
      <c r="H37" s="5" t="inlineStr">
        <is>
          <t>Assumption</t>
        </is>
      </c>
    </row>
    <row r="38">
      <c r="B38" s="10" t="inlineStr">
        <is>
          <t>Overdraft — average utilisation</t>
        </is>
      </c>
      <c r="C38" s="17" t="n">
        <v>0.45</v>
      </c>
      <c r="D38" s="18" t="n">
        <v>0.45</v>
      </c>
      <c r="E38" s="18" t="n">
        <v>0.45</v>
      </c>
      <c r="F38" s="19">
        <f>CHOOSE('Inputs'!$C$4,D38,C38,E38)</f>
        <v/>
      </c>
      <c r="G38" s="14" t="inlineStr">
        <is>
          <t>% of limit</t>
        </is>
      </c>
      <c r="H38" s="5" t="inlineStr">
        <is>
          <t>Assumption</t>
        </is>
      </c>
    </row>
    <row r="39">
      <c r="B39" s="10" t="inlineStr">
        <is>
          <t>Term loans / commercial mortgages — penetration</t>
        </is>
      </c>
      <c r="C39" s="17" t="n">
        <v>0.12</v>
      </c>
      <c r="D39" s="18" t="n">
        <v>0.12</v>
      </c>
      <c r="E39" s="18" t="n">
        <v>0.12</v>
      </c>
      <c r="F39" s="19">
        <f>CHOOSE('Inputs'!$C$4,D39,C39,E39)</f>
        <v/>
      </c>
      <c r="G39" s="14" t="inlineStr">
        <is>
          <t>%</t>
        </is>
      </c>
      <c r="H39" s="5" t="inlineStr">
        <is>
          <t>Assumption</t>
        </is>
      </c>
    </row>
    <row r="40">
      <c r="B40" s="10" t="inlineStr">
        <is>
          <t>Term loans — average balance</t>
        </is>
      </c>
      <c r="C40" s="25" t="n">
        <v>250000</v>
      </c>
      <c r="D40" s="28" t="n">
        <v>250000</v>
      </c>
      <c r="E40" s="28" t="n">
        <v>250000</v>
      </c>
      <c r="F40" s="26">
        <f>CHOOSE('Inputs'!$C$4,D40,C40,E40)</f>
        <v/>
      </c>
      <c r="G40" s="14" t="inlineStr">
        <is>
          <t>£/loan</t>
        </is>
      </c>
      <c r="H40" s="5" t="inlineStr">
        <is>
          <t>Assumption</t>
        </is>
      </c>
    </row>
    <row r="41">
      <c r="B41" s="10" t="inlineStr">
        <is>
          <t>Term loans — average life</t>
        </is>
      </c>
      <c r="C41" s="20" t="n">
        <v>4</v>
      </c>
      <c r="D41" s="21" t="n">
        <v>4</v>
      </c>
      <c r="E41" s="21" t="n">
        <v>4</v>
      </c>
      <c r="F41" s="22">
        <f>CHOOSE('Inputs'!$C$4,D41,C41,E41)</f>
        <v/>
      </c>
      <c r="G41" s="14" t="inlineStr">
        <is>
          <t>years</t>
        </is>
      </c>
      <c r="H41" s="5" t="inlineStr">
        <is>
          <t>Assumption: drives origination volume &amp; fee amortisation</t>
        </is>
      </c>
    </row>
    <row r="42">
      <c r="B42" s="10" t="inlineStr">
        <is>
          <t>Asset finance — penetration</t>
        </is>
      </c>
      <c r="C42" s="17" t="n">
        <v>0.08</v>
      </c>
      <c r="D42" s="18" t="n">
        <v>0.08</v>
      </c>
      <c r="E42" s="18" t="n">
        <v>0.08</v>
      </c>
      <c r="F42" s="19">
        <f>CHOOSE('Inputs'!$C$4,D42,C42,E42)</f>
        <v/>
      </c>
      <c r="G42" s="14" t="inlineStr">
        <is>
          <t>%</t>
        </is>
      </c>
      <c r="H42" s="5" t="inlineStr">
        <is>
          <t>Assumption</t>
        </is>
      </c>
    </row>
    <row r="43">
      <c r="B43" s="10" t="inlineStr">
        <is>
          <t>Asset finance — average balance</t>
        </is>
      </c>
      <c r="C43" s="27" t="n">
        <v>80000</v>
      </c>
      <c r="D43" s="28" t="n">
        <v>80000</v>
      </c>
      <c r="E43" s="28" t="n">
        <v>80000</v>
      </c>
      <c r="F43" s="26">
        <f>CHOOSE('Inputs'!$C$4,D43,C43,E43)</f>
        <v/>
      </c>
      <c r="G43" s="14" t="inlineStr">
        <is>
          <t>£/agreement</t>
        </is>
      </c>
      <c r="H43" s="5" t="inlineStr">
        <is>
          <t>Assumption (cf. Allica asset finance book £507m — bridgingloandirectory.co.uk)</t>
        </is>
      </c>
    </row>
    <row r="44">
      <c r="B44" s="10" t="inlineStr">
        <is>
          <t>Asset finance — average life</t>
        </is>
      </c>
      <c r="C44" s="29" t="n">
        <v>3.5</v>
      </c>
      <c r="D44" s="30" t="n">
        <v>3.5</v>
      </c>
      <c r="E44" s="30" t="n">
        <v>3.5</v>
      </c>
      <c r="F44" s="31">
        <f>CHOOSE('Inputs'!$C$4,D44,C44,E44)</f>
        <v/>
      </c>
      <c r="G44" s="14" t="inlineStr">
        <is>
          <t>years</t>
        </is>
      </c>
      <c r="H44" s="5" t="inlineStr">
        <is>
          <t>Assumption</t>
        </is>
      </c>
    </row>
    <row r="45">
      <c r="B45" s="10" t="inlineStr">
        <is>
          <t>Invoice finance — penetration</t>
        </is>
      </c>
      <c r="C45" s="17" t="n">
        <v>0.03</v>
      </c>
      <c r="D45" s="18" t="n">
        <v>0.03</v>
      </c>
      <c r="E45" s="18" t="n">
        <v>0.03</v>
      </c>
      <c r="F45" s="19">
        <f>CHOOSE('Inputs'!$C$4,D45,C45,E45)</f>
        <v/>
      </c>
      <c r="G45" s="14" t="inlineStr">
        <is>
          <t>%</t>
        </is>
      </c>
      <c r="H45" s="5" t="inlineStr">
        <is>
          <t>Assumption</t>
        </is>
      </c>
    </row>
    <row r="46">
      <c r="B46" s="10" t="inlineStr">
        <is>
          <t>Invoice finance — average funds in use (advances)</t>
        </is>
      </c>
      <c r="C46" s="27" t="n">
        <v>150000</v>
      </c>
      <c r="D46" s="28" t="n">
        <v>150000</v>
      </c>
      <c r="E46" s="28" t="n">
        <v>150000</v>
      </c>
      <c r="F46" s="26">
        <f>CHOOSE('Inputs'!$C$4,D46,C46,E46)</f>
        <v/>
      </c>
      <c r="G46" s="14" t="inlineStr">
        <is>
          <t>£/client</t>
        </is>
      </c>
      <c r="H46" s="5" t="inlineStr">
        <is>
          <t>Assumption</t>
        </is>
      </c>
    </row>
    <row r="47">
      <c r="B47" s="10" t="inlineStr">
        <is>
          <t>Invoice finance — average client life</t>
        </is>
      </c>
      <c r="C47" s="20" t="n">
        <v>4</v>
      </c>
      <c r="D47" s="21" t="n">
        <v>4</v>
      </c>
      <c r="E47" s="21" t="n">
        <v>4</v>
      </c>
      <c r="F47" s="22">
        <f>CHOOSE('Inputs'!$C$4,D47,C47,E47)</f>
        <v/>
      </c>
      <c r="G47" s="14" t="inlineStr">
        <is>
          <t>years</t>
        </is>
      </c>
      <c r="H47" s="5" t="inlineStr">
        <is>
          <t>Assumption</t>
        </is>
      </c>
    </row>
    <row r="48">
      <c r="B48" s="10" t="inlineStr">
        <is>
          <t>Invoice finance — funded invoices as multiple of advances</t>
        </is>
      </c>
      <c r="C48" s="20" t="n">
        <v>8</v>
      </c>
      <c r="D48" s="21" t="n">
        <v>8</v>
      </c>
      <c r="E48" s="21" t="n">
        <v>8</v>
      </c>
      <c r="F48" s="22">
        <f>CHOOSE('Inputs'!$C$4,D48,C48,E48)</f>
        <v/>
      </c>
      <c r="G48" s="14" t="inlineStr">
        <is>
          <t>x p.a.</t>
        </is>
      </c>
      <c r="H48" s="5" t="inlineStr">
        <is>
          <t>≈45 debtor days: annual funded invoice value ≈ 8× funds in use</t>
        </is>
      </c>
    </row>
    <row r="49">
      <c r="B49" s="10" t="inlineStr">
        <is>
          <t>Business credit card — penetration</t>
        </is>
      </c>
      <c r="C49" s="17" t="n">
        <v>0.3</v>
      </c>
      <c r="D49" s="18" t="n">
        <v>0.3</v>
      </c>
      <c r="E49" s="18" t="n">
        <v>0.3</v>
      </c>
      <c r="F49" s="19">
        <f>CHOOSE('Inputs'!$C$4,D49,C49,E49)</f>
        <v/>
      </c>
      <c r="G49" s="14" t="inlineStr">
        <is>
          <t>%</t>
        </is>
      </c>
      <c r="H49" s="5" t="inlineStr">
        <is>
          <t>Assumption</t>
        </is>
      </c>
    </row>
    <row r="50">
      <c r="B50" s="10" t="inlineStr">
        <is>
          <t>Card — average monthly spend</t>
        </is>
      </c>
      <c r="C50" s="27" t="n">
        <v>2500</v>
      </c>
      <c r="D50" s="28" t="n">
        <v>2500</v>
      </c>
      <c r="E50" s="28" t="n">
        <v>2500</v>
      </c>
      <c r="F50" s="26">
        <f>CHOOSE('Inputs'!$C$4,D50,C50,E50)</f>
        <v/>
      </c>
      <c r="G50" s="14" t="inlineStr">
        <is>
          <t>£/card/month</t>
        </is>
      </c>
      <c r="H50" s="5" t="inlineStr">
        <is>
          <t>Assumption</t>
        </is>
      </c>
    </row>
    <row r="51">
      <c r="B51" s="10" t="inlineStr">
        <is>
          <t>Card — share of cards revolving a balance</t>
        </is>
      </c>
      <c r="C51" s="17" t="n">
        <v>0.25</v>
      </c>
      <c r="D51" s="18" t="n">
        <v>0.25</v>
      </c>
      <c r="E51" s="18" t="n">
        <v>0.25</v>
      </c>
      <c r="F51" s="19">
        <f>CHOOSE('Inputs'!$C$4,D51,C51,E51)</f>
        <v/>
      </c>
      <c r="G51" s="14" t="inlineStr">
        <is>
          <t>%</t>
        </is>
      </c>
      <c r="H51" s="5" t="inlineStr">
        <is>
          <t>Assumption</t>
        </is>
      </c>
    </row>
    <row r="52">
      <c r="B52" s="10" t="inlineStr">
        <is>
          <t>Card — average revolving balance (revolvers)</t>
        </is>
      </c>
      <c r="C52" s="27" t="n">
        <v>2000</v>
      </c>
      <c r="D52" s="28" t="n">
        <v>2000</v>
      </c>
      <c r="E52" s="28" t="n">
        <v>2000</v>
      </c>
      <c r="F52" s="26">
        <f>CHOOSE('Inputs'!$C$4,D52,C52,E52)</f>
        <v/>
      </c>
      <c r="G52" s="14" t="inlineStr">
        <is>
          <t>£/card</t>
        </is>
      </c>
      <c r="H52" s="5" t="inlineStr">
        <is>
          <t>Assumption</t>
        </is>
      </c>
    </row>
    <row r="53">
      <c r="B53" s="10" t="inlineStr">
        <is>
          <t>International payments &amp; FX — penetration</t>
        </is>
      </c>
      <c r="C53" s="17" t="n">
        <v>0.2</v>
      </c>
      <c r="D53" s="18" t="n">
        <v>0.2</v>
      </c>
      <c r="E53" s="18" t="n">
        <v>0.2</v>
      </c>
      <c r="F53" s="19">
        <f>CHOOSE('Inputs'!$C$4,D53,C53,E53)</f>
        <v/>
      </c>
      <c r="G53" s="14" t="inlineStr">
        <is>
          <t>%</t>
        </is>
      </c>
      <c r="H53" s="5" t="inlineStr">
        <is>
          <t>Assumption: share of customers using intl services</t>
        </is>
      </c>
    </row>
    <row r="54">
      <c r="B54" s="10" t="inlineStr">
        <is>
          <t>FX — average annual conversion volume</t>
        </is>
      </c>
      <c r="C54" s="27" t="n">
        <v>100000</v>
      </c>
      <c r="D54" s="28" t="n">
        <v>100000</v>
      </c>
      <c r="E54" s="28" t="n">
        <v>100000</v>
      </c>
      <c r="F54" s="26">
        <f>CHOOSE('Inputs'!$C$4,D54,C54,E54)</f>
        <v/>
      </c>
      <c r="G54" s="14" t="inlineStr">
        <is>
          <t>£/user/yr</t>
        </is>
      </c>
      <c r="H54" s="5" t="inlineStr">
        <is>
          <t>Assumption</t>
        </is>
      </c>
    </row>
    <row r="55">
      <c r="B55" s="10" t="inlineStr">
        <is>
          <t>International payments — number per user per year</t>
        </is>
      </c>
      <c r="C55" s="20" t="n">
        <v>30</v>
      </c>
      <c r="D55" s="21" t="n">
        <v>30</v>
      </c>
      <c r="E55" s="21" t="n">
        <v>30</v>
      </c>
      <c r="F55" s="22">
        <f>CHOOSE('Inputs'!$C$4,D55,C55,E55)</f>
        <v/>
      </c>
      <c r="G55" s="14" t="inlineStr">
        <is>
          <t>payments</t>
        </is>
      </c>
      <c r="H55" s="5" t="inlineStr">
        <is>
          <t>Assumption</t>
        </is>
      </c>
    </row>
    <row r="56">
      <c r="B56" s="7" t="inlineStr">
        <is>
          <t>D. PRICING &amp; FEES</t>
        </is>
      </c>
      <c r="C56" s="8" t="inlineStr"/>
      <c r="D56" s="8" t="inlineStr"/>
      <c r="E56" s="8" t="inlineStr"/>
    </row>
    <row r="57">
      <c r="B57" s="9" t="inlineStr">
        <is>
          <t>Item</t>
        </is>
      </c>
      <c r="C57" s="9" t="inlineStr">
        <is>
          <t>Central</t>
        </is>
      </c>
      <c r="D57" s="9" t="inlineStr">
        <is>
          <t>Pessimistic</t>
        </is>
      </c>
      <c r="E57" s="9" t="inlineStr">
        <is>
          <t>Optimistic</t>
        </is>
      </c>
      <c r="F57" s="9" t="inlineStr">
        <is>
          <t>ACTIVE</t>
        </is>
      </c>
      <c r="G57" s="9" t="inlineStr">
        <is>
          <t>Unit</t>
        </is>
      </c>
      <c r="H57" s="9" t="inlineStr">
        <is>
          <t>Source / note</t>
        </is>
      </c>
    </row>
    <row r="58">
      <c r="B58" s="10" t="inlineStr">
        <is>
          <t>BCA — credit interest paid</t>
        </is>
      </c>
      <c r="C58" s="15" t="n">
        <v>0.005</v>
      </c>
      <c r="D58" s="12" t="n">
        <v>0.005</v>
      </c>
      <c r="E58" s="12" t="n">
        <v>0.005</v>
      </c>
      <c r="F58" s="13">
        <f>CHOOSE('Inputs'!$C$4,D58,C58,E58)</f>
        <v/>
      </c>
      <c r="G58" s="14" t="inlineStr">
        <is>
          <t>% p.a.</t>
        </is>
      </c>
      <c r="H58" s="5" t="inlineStr">
        <is>
          <t>Assumption: most BCAs pay 0–1%</t>
        </is>
      </c>
    </row>
    <row r="59">
      <c r="B59" s="10" t="inlineStr">
        <is>
          <t>BCA — monthly account fee</t>
        </is>
      </c>
      <c r="C59" s="32" t="n">
        <v>8.5</v>
      </c>
      <c r="D59" s="33" t="n">
        <v>8.5</v>
      </c>
      <c r="E59" s="33" t="n">
        <v>8.5</v>
      </c>
      <c r="F59" s="34">
        <f>CHOOSE('Inputs'!$C$4,D59,C59,E59)</f>
        <v/>
      </c>
      <c r="G59" s="14" t="inlineStr">
        <is>
          <t>£/month</t>
        </is>
      </c>
      <c r="H59" s="5" t="inlineStr">
        <is>
          <t>Barclays standard business tariff from £8.50/mo post free period; NatWest £5–10 (anna.money comparison, 2026)</t>
        </is>
      </c>
    </row>
    <row r="60">
      <c r="B60" s="10" t="inlineStr">
        <is>
          <t>BCA — net transaction &amp; cash-handling income</t>
        </is>
      </c>
      <c r="C60" s="27" t="n">
        <v>120</v>
      </c>
      <c r="D60" s="28" t="n">
        <v>120</v>
      </c>
      <c r="E60" s="28" t="n">
        <v>120</v>
      </c>
      <c r="F60" s="26">
        <f>CHOOSE('Inputs'!$C$4,D60,C60,E60)</f>
        <v/>
      </c>
      <c r="G60" s="14" t="inlineStr">
        <is>
          <t>£/account/yr</t>
        </is>
      </c>
      <c r="H60" s="5" t="inlineStr">
        <is>
          <t>Assumption: net of payment costs; cash deposits charged 0.5–0.7% of value at majors (anna.money)</t>
        </is>
      </c>
    </row>
    <row r="61">
      <c r="B61" s="10" t="inlineStr">
        <is>
          <t>Instant-access savings — rate paid</t>
        </is>
      </c>
      <c r="C61" s="11" t="n">
        <v>0.033</v>
      </c>
      <c r="D61" s="11" t="n">
        <v>0.0386</v>
      </c>
      <c r="E61" s="11" t="n">
        <v>0.032</v>
      </c>
      <c r="F61" s="13">
        <f>CHOOSE('Inputs'!$C$4,D61,C61,E61)</f>
        <v/>
      </c>
      <c r="G61" s="14" t="inlineStr">
        <is>
          <t>% p.a.</t>
        </is>
      </c>
      <c r="H61" s="5" t="inlineStr">
        <is>
          <t>Best-buy 3.86–3.91% Jul 2026; established banks price below — pessimistic = pushed to best-buy</t>
        </is>
      </c>
    </row>
    <row r="62">
      <c r="B62" s="10" t="inlineStr">
        <is>
          <t>Notice &amp; fixed deposits — rate paid</t>
        </is>
      </c>
      <c r="C62" s="15" t="n">
        <v>0.041</v>
      </c>
      <c r="D62" s="12" t="n">
        <v>0.041</v>
      </c>
      <c r="E62" s="12" t="n">
        <v>0.041</v>
      </c>
      <c r="F62" s="13">
        <f>CHOOSE('Inputs'!$C$4,D62,C62,E62)</f>
        <v/>
      </c>
      <c r="G62" s="14" t="inlineStr">
        <is>
          <t>% p.a.</t>
        </is>
      </c>
      <c r="H62" s="5" t="inlineStr">
        <is>
          <t>Notice ~4.0%, 1-yr fixed 4.2–4.6% Jul 2026 (businessexpert.co.uk)</t>
        </is>
      </c>
    </row>
    <row r="63">
      <c r="B63" s="10" t="inlineStr">
        <is>
          <t>Overdraft — interest rate (EAR)</t>
        </is>
      </c>
      <c r="C63" s="11" t="n">
        <v>0.0975</v>
      </c>
      <c r="D63" s="12" t="n">
        <v>0.0975</v>
      </c>
      <c r="E63" s="12" t="n">
        <v>0.0975</v>
      </c>
      <c r="F63" s="13">
        <f>CHOOSE('Inputs'!$C$4,D63,C63,E63)</f>
        <v/>
      </c>
      <c r="G63" s="14" t="inlineStr">
        <is>
          <t>% p.a.</t>
        </is>
      </c>
      <c r="H63" s="5" t="inlineStr">
        <is>
          <t>Assumption: typical SME overdraft margins ~5–7% over base (major-bank rep rates)</t>
        </is>
      </c>
    </row>
    <row r="64">
      <c r="B64" s="10" t="inlineStr">
        <is>
          <t>Overdraft — annual arrangement/renewal fee</t>
        </is>
      </c>
      <c r="C64" s="15" t="n">
        <v>0.015</v>
      </c>
      <c r="D64" s="12" t="n">
        <v>0.015</v>
      </c>
      <c r="E64" s="12" t="n">
        <v>0.015</v>
      </c>
      <c r="F64" s="13">
        <f>CHOOSE('Inputs'!$C$4,D64,C64,E64)</f>
        <v/>
      </c>
      <c r="G64" s="14" t="inlineStr">
        <is>
          <t>% of limit</t>
        </is>
      </c>
      <c r="H64" s="5" t="inlineStr">
        <is>
          <t>Assumption: 1–2% of limit is typical</t>
        </is>
      </c>
    </row>
    <row r="65">
      <c r="B65" s="10" t="inlineStr">
        <is>
          <t>Term loans — customer rate</t>
        </is>
      </c>
      <c r="C65" s="11" t="n">
        <v>0.0625</v>
      </c>
      <c r="D65" s="11" t="n">
        <v>0.0611</v>
      </c>
      <c r="E65" s="11" t="n">
        <v>0.064</v>
      </c>
      <c r="F65" s="13">
        <f>CHOOSE('Inputs'!$C$4,D65,C65,E65)</f>
        <v/>
      </c>
      <c r="G65" s="14" t="inlineStr">
        <is>
          <t>% p.a.</t>
        </is>
      </c>
      <c r="H65" s="5" t="inlineStr">
        <is>
          <t>BoE effective new-SME rate 6.11% Mar 2026 (base+236bps); band seeded from market evidence</t>
        </is>
      </c>
    </row>
    <row r="66">
      <c r="B66" s="10" t="inlineStr">
        <is>
          <t>Term loans — arrangement fee</t>
        </is>
      </c>
      <c r="C66" s="15" t="n">
        <v>0.015</v>
      </c>
      <c r="D66" s="12" t="n">
        <v>0.015</v>
      </c>
      <c r="E66" s="12" t="n">
        <v>0.015</v>
      </c>
      <c r="F66" s="13">
        <f>CHOOSE('Inputs'!$C$4,D66,C66,E66)</f>
        <v/>
      </c>
      <c r="G66" s="14" t="inlineStr">
        <is>
          <t>% of loan</t>
        </is>
      </c>
      <c r="H66" s="5" t="inlineStr">
        <is>
          <t>Assumption: 1–2% typical; amortised over loan life in the model</t>
        </is>
      </c>
    </row>
    <row r="67">
      <c r="B67" s="10" t="inlineStr">
        <is>
          <t>Asset finance — customer yield</t>
        </is>
      </c>
      <c r="C67" s="15" t="n">
        <v>0.08500000000000001</v>
      </c>
      <c r="D67" s="12" t="n">
        <v>0.08500000000000001</v>
      </c>
      <c r="E67" s="12" t="n">
        <v>0.08500000000000001</v>
      </c>
      <c r="F67" s="13">
        <f>CHOOSE('Inputs'!$C$4,D67,C67,E67)</f>
        <v/>
      </c>
      <c r="G67" s="14" t="inlineStr">
        <is>
          <t>% p.a.</t>
        </is>
      </c>
      <c r="H67" s="5" t="inlineStr">
        <is>
          <t>Assumption: HP/lease yields ~8–9% for SME kit</t>
        </is>
      </c>
    </row>
    <row r="68">
      <c r="B68" s="10" t="inlineStr">
        <is>
          <t>Invoice finance — discount margin over base</t>
        </is>
      </c>
      <c r="C68" s="15" t="n">
        <v>0.025</v>
      </c>
      <c r="D68" s="12" t="n">
        <v>0.025</v>
      </c>
      <c r="E68" s="12" t="n">
        <v>0.025</v>
      </c>
      <c r="F68" s="13">
        <f>CHOOSE('Inputs'!$C$4,D68,C68,E68)</f>
        <v/>
      </c>
      <c r="G68" s="14" t="inlineStr">
        <is>
          <t>% p.a.</t>
        </is>
      </c>
      <c r="H68" s="5" t="inlineStr">
        <is>
          <t>Discount charge typically base +1–3% (marketinvoice.co.uk, 2026)</t>
        </is>
      </c>
    </row>
    <row r="69">
      <c r="B69" s="10" t="inlineStr">
        <is>
          <t>Invoice finance — service fee</t>
        </is>
      </c>
      <c r="C69" s="11" t="n">
        <v>0.01</v>
      </c>
      <c r="D69" s="12" t="n">
        <v>0.01</v>
      </c>
      <c r="E69" s="12" t="n">
        <v>0.01</v>
      </c>
      <c r="F69" s="13">
        <f>CHOOSE('Inputs'!$C$4,D69,C69,E69)</f>
        <v/>
      </c>
      <c r="G69" s="14" t="inlineStr">
        <is>
          <t>% of funded invoices</t>
        </is>
      </c>
      <c r="H69" s="5" t="inlineStr">
        <is>
          <t>Service charge typically 0.5–3% of invoice value (marketinvoice.co.uk)</t>
        </is>
      </c>
    </row>
    <row r="70">
      <c r="B70" s="10" t="inlineStr">
        <is>
          <t>Card — commercial interchange earned</t>
        </is>
      </c>
      <c r="C70" s="15" t="n">
        <v>0.017</v>
      </c>
      <c r="D70" s="12" t="n">
        <v>0.017</v>
      </c>
      <c r="E70" s="12" t="n">
        <v>0.017</v>
      </c>
      <c r="F70" s="13">
        <f>CHOOSE('Inputs'!$C$4,D70,C70,E70)</f>
        <v/>
      </c>
      <c r="G70" s="14" t="inlineStr">
        <is>
          <t>% of spend</t>
        </is>
      </c>
      <c r="H70" s="5" t="inlineStr">
        <is>
          <t>UK commercial card interchange ~1.65–1.90%, outside consumer caps (businessexpert.co.uk interchange data)</t>
        </is>
      </c>
    </row>
    <row r="71">
      <c r="B71" s="10" t="inlineStr">
        <is>
          <t>Card — annual card fee</t>
        </is>
      </c>
      <c r="C71" s="27" t="n">
        <v>32</v>
      </c>
      <c r="D71" s="28" t="n">
        <v>32</v>
      </c>
      <c r="E71" s="28" t="n">
        <v>32</v>
      </c>
      <c r="F71" s="26">
        <f>CHOOSE('Inputs'!$C$4,D71,C71,E71)</f>
        <v/>
      </c>
      <c r="G71" s="14" t="inlineStr">
        <is>
          <t>£/card/yr</t>
        </is>
      </c>
      <c r="H71" s="5" t="inlineStr">
        <is>
          <t>Assumption</t>
        </is>
      </c>
    </row>
    <row r="72">
      <c r="B72" s="10" t="inlineStr">
        <is>
          <t>Card — interest rate on revolving balances</t>
        </is>
      </c>
      <c r="C72" s="15" t="n">
        <v>0.159</v>
      </c>
      <c r="D72" s="12" t="n">
        <v>0.159</v>
      </c>
      <c r="E72" s="12" t="n">
        <v>0.159</v>
      </c>
      <c r="F72" s="13">
        <f>CHOOSE('Inputs'!$C$4,D72,C72,E72)</f>
        <v/>
      </c>
      <c r="G72" s="14" t="inlineStr">
        <is>
          <t>% p.a.</t>
        </is>
      </c>
      <c r="H72" s="5" t="inlineStr">
        <is>
          <t>Assumption: typical business card APR</t>
        </is>
      </c>
    </row>
    <row r="73">
      <c r="B73" s="10" t="inlineStr">
        <is>
          <t>FX — margin on conversion volume</t>
        </is>
      </c>
      <c r="C73" s="15" t="n">
        <v>0.0075</v>
      </c>
      <c r="D73" s="12" t="n">
        <v>0.0075</v>
      </c>
      <c r="E73" s="12" t="n">
        <v>0.0075</v>
      </c>
      <c r="F73" s="13">
        <f>CHOOSE('Inputs'!$C$4,D73,C73,E73)</f>
        <v/>
      </c>
      <c r="G73" s="14" t="inlineStr">
        <is>
          <t>% of volume</t>
        </is>
      </c>
      <c r="H73" s="5" t="inlineStr">
        <is>
          <t>Assumption: SME FX spreads typically 0.25–1.5%</t>
        </is>
      </c>
    </row>
    <row r="74">
      <c r="B74" s="10" t="inlineStr">
        <is>
          <t>International payment fee</t>
        </is>
      </c>
      <c r="C74" s="32" t="n">
        <v>17.5</v>
      </c>
      <c r="D74" s="33" t="n">
        <v>17.5</v>
      </c>
      <c r="E74" s="33" t="n">
        <v>17.5</v>
      </c>
      <c r="F74" s="34">
        <f>CHOOSE('Inputs'!$C$4,D74,C74,E74)</f>
        <v/>
      </c>
      <c r="G74" s="14" t="inlineStr">
        <is>
          <t>£/payment</t>
        </is>
      </c>
      <c r="H74" s="5" t="inlineStr">
        <is>
          <t>Major banks charge £15–25 per international payment (anna.money)</t>
        </is>
      </c>
    </row>
    <row r="75">
      <c r="B75" s="7" t="inlineStr">
        <is>
          <t>E. CREDIT RISK, CAPITAL &amp; TAX (Simanis Step 3: investment costs)</t>
        </is>
      </c>
      <c r="C75" s="8" t="inlineStr"/>
      <c r="D75" s="8" t="inlineStr"/>
      <c r="E75" s="8" t="inlineStr"/>
    </row>
    <row r="76">
      <c r="B76" s="9" t="inlineStr">
        <is>
          <t>Item</t>
        </is>
      </c>
      <c r="C76" s="9" t="inlineStr">
        <is>
          <t>Central</t>
        </is>
      </c>
      <c r="D76" s="9" t="inlineStr">
        <is>
          <t>Pessimistic</t>
        </is>
      </c>
      <c r="E76" s="9" t="inlineStr">
        <is>
          <t>Optimistic</t>
        </is>
      </c>
      <c r="F76" s="9" t="inlineStr">
        <is>
          <t>ACTIVE</t>
        </is>
      </c>
      <c r="G76" s="9" t="inlineStr">
        <is>
          <t>Unit</t>
        </is>
      </c>
      <c r="H76" s="9" t="inlineStr">
        <is>
          <t>Source / note</t>
        </is>
      </c>
    </row>
    <row r="77">
      <c r="B77" s="10" t="inlineStr">
        <is>
          <t>Overdraft — probability of default</t>
        </is>
      </c>
      <c r="C77" s="15" t="n">
        <v>0.026</v>
      </c>
      <c r="D77" s="12" t="n">
        <v>0.026</v>
      </c>
      <c r="E77" s="12" t="n">
        <v>0.026</v>
      </c>
      <c r="F77" s="13">
        <f>CHOOSE('Inputs'!$C$4,D77,C77,E77)</f>
        <v/>
      </c>
      <c r="G77" s="14" t="inlineStr">
        <is>
          <t>% p.a.</t>
        </is>
      </c>
      <c r="H77" s="5" t="inlineStr">
        <is>
          <t>BoE: retail SME PD ~2.6% vs 0.9% mid/large corporates (BoE Bank Insights 2026)</t>
        </is>
      </c>
    </row>
    <row r="78">
      <c r="B78" s="10" t="inlineStr">
        <is>
          <t>Overdraft — loss given default</t>
        </is>
      </c>
      <c r="C78" s="17" t="n">
        <v>0.55</v>
      </c>
      <c r="D78" s="18" t="n">
        <v>0.55</v>
      </c>
      <c r="E78" s="18" t="n">
        <v>0.55</v>
      </c>
      <c r="F78" s="19">
        <f>CHOOSE('Inputs'!$C$4,D78,C78,E78)</f>
        <v/>
      </c>
      <c r="G78" s="14" t="inlineStr">
        <is>
          <t>%</t>
        </is>
      </c>
      <c r="H78" s="5" t="inlineStr">
        <is>
          <t>Assumption: unsecured working capital</t>
        </is>
      </c>
    </row>
    <row r="79">
      <c r="B79" s="10" t="inlineStr">
        <is>
          <t>Term loans — probability of default</t>
        </is>
      </c>
      <c r="C79" s="15" t="n">
        <v>0.018</v>
      </c>
      <c r="D79" s="11" t="n">
        <v>0.026</v>
      </c>
      <c r="E79" s="11" t="n">
        <v>0.015</v>
      </c>
      <c r="F79" s="13">
        <f>CHOOSE('Inputs'!$C$4,D79,C79,E79)</f>
        <v/>
      </c>
      <c r="G79" s="14" t="inlineStr">
        <is>
          <t>% p.a.</t>
        </is>
      </c>
      <c r="H79" s="5" t="inlineStr">
        <is>
          <t>Assumption: secured book below unsecured SME PD (BoE retail SME 2.6%); band seeded</t>
        </is>
      </c>
    </row>
    <row r="80">
      <c r="B80" s="10" t="inlineStr">
        <is>
          <t>Term loans — loss given default</t>
        </is>
      </c>
      <c r="C80" s="17" t="n">
        <v>0.25</v>
      </c>
      <c r="D80" s="18" t="n">
        <v>0.25</v>
      </c>
      <c r="E80" s="18" t="n">
        <v>0.25</v>
      </c>
      <c r="F80" s="19">
        <f>CHOOSE('Inputs'!$C$4,D80,C80,E80)</f>
        <v/>
      </c>
      <c r="G80" s="14" t="inlineStr">
        <is>
          <t>%</t>
        </is>
      </c>
      <c r="H80" s="5" t="inlineStr">
        <is>
          <t>Assumption: property/security-backed</t>
        </is>
      </c>
    </row>
    <row r="81">
      <c r="B81" s="10" t="inlineStr">
        <is>
          <t>Asset finance — probability of default</t>
        </is>
      </c>
      <c r="C81" s="15" t="n">
        <v>0.022</v>
      </c>
      <c r="D81" s="12" t="n">
        <v>0.022</v>
      </c>
      <c r="E81" s="12" t="n">
        <v>0.022</v>
      </c>
      <c r="F81" s="13">
        <f>CHOOSE('Inputs'!$C$4,D81,C81,E81)</f>
        <v/>
      </c>
      <c r="G81" s="14" t="inlineStr">
        <is>
          <t>% p.a.</t>
        </is>
      </c>
      <c r="H81" s="5" t="inlineStr">
        <is>
          <t>Assumption</t>
        </is>
      </c>
    </row>
    <row r="82">
      <c r="B82" s="10" t="inlineStr">
        <is>
          <t>Asset finance — loss given default</t>
        </is>
      </c>
      <c r="C82" s="17" t="n">
        <v>0.35</v>
      </c>
      <c r="D82" s="18" t="n">
        <v>0.35</v>
      </c>
      <c r="E82" s="18" t="n">
        <v>0.35</v>
      </c>
      <c r="F82" s="19">
        <f>CHOOSE('Inputs'!$C$4,D82,C82,E82)</f>
        <v/>
      </c>
      <c r="G82" s="14" t="inlineStr">
        <is>
          <t>%</t>
        </is>
      </c>
      <c r="H82" s="5" t="inlineStr">
        <is>
          <t>Assumption: recoverable assets</t>
        </is>
      </c>
    </row>
    <row r="83">
      <c r="B83" s="10" t="inlineStr">
        <is>
          <t>Invoice finance — probability of default</t>
        </is>
      </c>
      <c r="C83" s="15" t="n">
        <v>0.026</v>
      </c>
      <c r="D83" s="12" t="n">
        <v>0.026</v>
      </c>
      <c r="E83" s="12" t="n">
        <v>0.026</v>
      </c>
      <c r="F83" s="13">
        <f>CHOOSE('Inputs'!$C$4,D83,C83,E83)</f>
        <v/>
      </c>
      <c r="G83" s="14" t="inlineStr">
        <is>
          <t>% p.a.</t>
        </is>
      </c>
      <c r="H83" s="5" t="inlineStr">
        <is>
          <t>Assumption</t>
        </is>
      </c>
    </row>
    <row r="84">
      <c r="B84" s="10" t="inlineStr">
        <is>
          <t>Invoice finance — loss given default</t>
        </is>
      </c>
      <c r="C84" s="17" t="n">
        <v>0.2</v>
      </c>
      <c r="D84" s="18" t="n">
        <v>0.2</v>
      </c>
      <c r="E84" s="18" t="n">
        <v>0.2</v>
      </c>
      <c r="F84" s="19">
        <f>CHOOSE('Inputs'!$C$4,D84,C84,E84)</f>
        <v/>
      </c>
      <c r="G84" s="14" t="inlineStr">
        <is>
          <t>%</t>
        </is>
      </c>
      <c r="H84" s="5" t="inlineStr">
        <is>
          <t>Assumption: secured on receivables</t>
        </is>
      </c>
    </row>
    <row r="85">
      <c r="B85" s="10" t="inlineStr">
        <is>
          <t>Card — probability of default</t>
        </is>
      </c>
      <c r="C85" s="15" t="n">
        <v>0.035</v>
      </c>
      <c r="D85" s="12" t="n">
        <v>0.035</v>
      </c>
      <c r="E85" s="12" t="n">
        <v>0.035</v>
      </c>
      <c r="F85" s="13">
        <f>CHOOSE('Inputs'!$C$4,D85,C85,E85)</f>
        <v/>
      </c>
      <c r="G85" s="14" t="inlineStr">
        <is>
          <t>% p.a.</t>
        </is>
      </c>
      <c r="H85" s="5" t="inlineStr">
        <is>
          <t>Assumption</t>
        </is>
      </c>
    </row>
    <row r="86">
      <c r="B86" s="10" t="inlineStr">
        <is>
          <t>Card — loss given default</t>
        </is>
      </c>
      <c r="C86" s="17" t="n">
        <v>0.75</v>
      </c>
      <c r="D86" s="18" t="n">
        <v>0.75</v>
      </c>
      <c r="E86" s="18" t="n">
        <v>0.75</v>
      </c>
      <c r="F86" s="19">
        <f>CHOOSE('Inputs'!$C$4,D86,C86,E86)</f>
        <v/>
      </c>
      <c r="G86" s="14" t="inlineStr">
        <is>
          <t>%</t>
        </is>
      </c>
      <c r="H86" s="5" t="inlineStr">
        <is>
          <t>Assumption: unsecured</t>
        </is>
      </c>
    </row>
    <row r="87">
      <c r="B87" s="10" t="inlineStr">
        <is>
          <t>Overdraft — risk weight</t>
        </is>
      </c>
      <c r="C87" s="17" t="n">
        <v>0.75</v>
      </c>
      <c r="D87" s="18" t="n">
        <v>0.75</v>
      </c>
      <c r="E87" s="18" t="n">
        <v>0.75</v>
      </c>
      <c r="F87" s="19">
        <f>CHOOSE('Inputs'!$C$4,D87,C87,E87)</f>
        <v/>
      </c>
      <c r="G87" s="14" t="inlineStr">
        <is>
          <t>% of drawn</t>
        </is>
      </c>
      <c r="H87" s="5" t="inlineStr">
        <is>
          <t>Standardised retail SME treatment (approx., incl. SME support factor)</t>
        </is>
      </c>
    </row>
    <row r="88">
      <c r="B88" s="10" t="inlineStr">
        <is>
          <t>Term loans — risk weight</t>
        </is>
      </c>
      <c r="C88" s="17" t="n">
        <v>0.7</v>
      </c>
      <c r="D88" s="18" t="n">
        <v>0.7</v>
      </c>
      <c r="E88" s="18" t="n">
        <v>0.7</v>
      </c>
      <c r="F88" s="19">
        <f>CHOOSE('Inputs'!$C$4,D88,C88,E88)</f>
        <v/>
      </c>
      <c r="G88" s="14" t="inlineStr">
        <is>
          <t>%</t>
        </is>
      </c>
      <c r="H88" s="5" t="inlineStr">
        <is>
          <t>Approximation incl. SME support factor (BoE notes 15–24% RWA reduction)</t>
        </is>
      </c>
    </row>
    <row r="89">
      <c r="B89" s="10" t="inlineStr">
        <is>
          <t>Asset finance — risk weight</t>
        </is>
      </c>
      <c r="C89" s="17" t="n">
        <v>0.8</v>
      </c>
      <c r="D89" s="18" t="n">
        <v>0.8</v>
      </c>
      <c r="E89" s="18" t="n">
        <v>0.8</v>
      </c>
      <c r="F89" s="19">
        <f>CHOOSE('Inputs'!$C$4,D89,C89,E89)</f>
        <v/>
      </c>
      <c r="G89" s="14" t="inlineStr">
        <is>
          <t>%</t>
        </is>
      </c>
      <c r="H89" s="5" t="inlineStr">
        <is>
          <t>Assumption</t>
        </is>
      </c>
    </row>
    <row r="90">
      <c r="B90" s="10" t="inlineStr">
        <is>
          <t>Invoice finance — risk weight</t>
        </is>
      </c>
      <c r="C90" s="17" t="n">
        <v>0.6</v>
      </c>
      <c r="D90" s="18" t="n">
        <v>0.6</v>
      </c>
      <c r="E90" s="18" t="n">
        <v>0.6</v>
      </c>
      <c r="F90" s="19">
        <f>CHOOSE('Inputs'!$C$4,D90,C90,E90)</f>
        <v/>
      </c>
      <c r="G90" s="14" t="inlineStr">
        <is>
          <t>%</t>
        </is>
      </c>
      <c r="H90" s="5" t="inlineStr">
        <is>
          <t>Assumption</t>
        </is>
      </c>
    </row>
    <row r="91">
      <c r="B91" s="10" t="inlineStr">
        <is>
          <t>Card — risk weight</t>
        </is>
      </c>
      <c r="C91" s="17" t="n">
        <v>0.75</v>
      </c>
      <c r="D91" s="18" t="n">
        <v>0.75</v>
      </c>
      <c r="E91" s="18" t="n">
        <v>0.75</v>
      </c>
      <c r="F91" s="19">
        <f>CHOOSE('Inputs'!$C$4,D91,C91,E91)</f>
        <v/>
      </c>
      <c r="G91" s="14" t="inlineStr">
        <is>
          <t>%</t>
        </is>
      </c>
      <c r="H91" s="5" t="inlineStr">
        <is>
          <t>Assumption</t>
        </is>
      </c>
    </row>
    <row r="92">
      <c r="B92" s="10" t="inlineStr">
        <is>
          <t>Operational-risk RWA multiple of gross income</t>
        </is>
      </c>
      <c r="C92" s="35" t="n">
        <v>1.875</v>
      </c>
      <c r="D92" s="36" t="n">
        <v>1.875</v>
      </c>
      <c r="E92" s="36" t="n">
        <v>1.875</v>
      </c>
      <c r="F92" s="37">
        <f>CHOOSE('Inputs'!$C$4,D92,C92,E92)</f>
        <v/>
      </c>
      <c r="G92" s="14" t="inlineStr">
        <is>
          <t>x revenue</t>
        </is>
      </c>
      <c r="H92" s="5" t="inlineStr">
        <is>
          <t>Basel basic-indicator proxy: capital = 15% of gross income → RWA = 15% × 12.5</t>
        </is>
      </c>
    </row>
    <row r="93">
      <c r="B93" s="10" t="inlineStr">
        <is>
          <t>Equity held against RWAs (CET1 target)</t>
        </is>
      </c>
      <c r="C93" s="17" t="n">
        <v>0.14</v>
      </c>
      <c r="D93" s="23" t="n">
        <v>0.16</v>
      </c>
      <c r="E93" s="23" t="n">
        <v>0.124</v>
      </c>
      <c r="F93" s="19">
        <f>CHOOSE('Inputs'!$C$4,D93,C93,E93)</f>
        <v/>
      </c>
      <c r="G93" s="14" t="inlineStr">
        <is>
          <t>% of RWA</t>
        </is>
      </c>
      <c r="H93" s="5" t="inlineStr">
        <is>
          <t>Peers 12.4–16% (Allica 13.4, OakNorth ~16); band seeded</t>
        </is>
      </c>
    </row>
    <row r="94">
      <c r="B94" s="10" t="inlineStr">
        <is>
          <t>Cost of equity (investor required return)</t>
        </is>
      </c>
      <c r="C94" s="23" t="n">
        <v>0.12</v>
      </c>
      <c r="D94" s="23" t="n">
        <v>0.125</v>
      </c>
      <c r="E94" s="23" t="n">
        <v>0.11</v>
      </c>
      <c r="F94" s="19">
        <f>CHOOSE('Inputs'!$C$4,D94,C94,E94)</f>
        <v/>
      </c>
      <c r="G94" s="14" t="inlineStr">
        <is>
          <t>% p.a.</t>
        </is>
      </c>
      <c r="H94" s="5" t="inlineStr">
        <is>
          <t>Jefferies 2025: UK bank CoE 11–12.5%; band seeded from that range</t>
        </is>
      </c>
    </row>
    <row r="95">
      <c r="B95" s="10" t="inlineStr">
        <is>
          <t>Tax rate (corporation tax + bank surcharge)</t>
        </is>
      </c>
      <c r="C95" s="17" t="n">
        <v>0.28</v>
      </c>
      <c r="D95" s="18" t="n">
        <v>0.28</v>
      </c>
      <c r="E95" s="18" t="n">
        <v>0.28</v>
      </c>
      <c r="F95" s="19">
        <f>CHOOSE('Inputs'!$C$4,D95,C95,E95)</f>
        <v/>
      </c>
      <c r="G95" s="14" t="inlineStr">
        <is>
          <t>%</t>
        </is>
      </c>
      <c r="H95" s="5" t="inlineStr">
        <is>
          <t>25% UK corporation tax + 3% bank surcharge on profits above allowance</t>
        </is>
      </c>
    </row>
    <row r="96">
      <c r="B96" s="7" t="inlineStr">
        <is>
          <t>F. PEOPLE &amp; ACTIVITY DRIVERS (Simanis Step 2: transaction intensity I &amp; customer load L)</t>
        </is>
      </c>
      <c r="C96" s="8" t="inlineStr"/>
      <c r="D96" s="8" t="inlineStr"/>
      <c r="E96" s="8" t="inlineStr"/>
    </row>
    <row r="97">
      <c r="B97" s="9" t="inlineStr">
        <is>
          <t>Item</t>
        </is>
      </c>
      <c r="C97" s="9" t="inlineStr">
        <is>
          <t>Central</t>
        </is>
      </c>
      <c r="D97" s="9" t="inlineStr">
        <is>
          <t>Pessimistic</t>
        </is>
      </c>
      <c r="E97" s="9" t="inlineStr">
        <is>
          <t>Optimistic</t>
        </is>
      </c>
      <c r="F97" s="9" t="inlineStr">
        <is>
          <t>ACTIVE</t>
        </is>
      </c>
      <c r="G97" s="9" t="inlineStr">
        <is>
          <t>Unit</t>
        </is>
      </c>
      <c r="H97" s="9" t="inlineStr">
        <is>
          <t>Source / note</t>
        </is>
      </c>
    </row>
    <row r="98">
      <c r="B98" s="10" t="inlineStr">
        <is>
          <t>Productive hours per FTE per month</t>
        </is>
      </c>
      <c r="C98" s="20" t="n">
        <v>147</v>
      </c>
      <c r="D98" s="21" t="n">
        <v>147</v>
      </c>
      <c r="E98" s="21" t="n">
        <v>147</v>
      </c>
      <c r="F98" s="22">
        <f>CHOOSE('Inputs'!$C$4,D98,C98,E98)</f>
        <v/>
      </c>
      <c r="G98" s="14" t="inlineStr">
        <is>
          <t>hours</t>
        </is>
      </c>
      <c r="H98" s="5" t="inlineStr">
        <is>
          <t>Convention: 147 productive hours per FTE per month</t>
        </is>
      </c>
    </row>
    <row r="99">
      <c r="B99" s="10" t="inlineStr">
        <is>
          <t>Relationship manager — salary</t>
        </is>
      </c>
      <c r="C99" s="27" t="n">
        <v>65000</v>
      </c>
      <c r="D99" s="28" t="n">
        <v>65000</v>
      </c>
      <c r="E99" s="28" t="n">
        <v>65000</v>
      </c>
      <c r="F99" s="26">
        <f>CHOOSE('Inputs'!$C$4,D99,C99,E99)</f>
        <v/>
      </c>
      <c r="G99" s="14" t="inlineStr">
        <is>
          <t>£/yr</t>
        </is>
      </c>
      <c r="H99" s="5" t="inlineStr">
        <is>
          <t>Assumption: UK commercial banking RM</t>
        </is>
      </c>
    </row>
    <row r="100">
      <c r="B100" s="10" t="inlineStr">
        <is>
          <t>Credit analyst / underwriter — salary</t>
        </is>
      </c>
      <c r="C100" s="27" t="n">
        <v>55000</v>
      </c>
      <c r="D100" s="28" t="n">
        <v>55000</v>
      </c>
      <c r="E100" s="28" t="n">
        <v>55000</v>
      </c>
      <c r="F100" s="26">
        <f>CHOOSE('Inputs'!$C$4,D100,C100,E100)</f>
        <v/>
      </c>
      <c r="G100" s="14" t="inlineStr">
        <is>
          <t>£/yr</t>
        </is>
      </c>
      <c r="H100" s="5" t="inlineStr">
        <is>
          <t>Assumption</t>
        </is>
      </c>
    </row>
    <row r="101">
      <c r="B101" s="10" t="inlineStr">
        <is>
          <t>Service &amp; operations staff — salary</t>
        </is>
      </c>
      <c r="C101" s="27" t="n">
        <v>32000</v>
      </c>
      <c r="D101" s="28" t="n">
        <v>32000</v>
      </c>
      <c r="E101" s="28" t="n">
        <v>32000</v>
      </c>
      <c r="F101" s="26">
        <f>CHOOSE('Inputs'!$C$4,D101,C101,E101)</f>
        <v/>
      </c>
      <c r="G101" s="14" t="inlineStr">
        <is>
          <t>£/yr</t>
        </is>
      </c>
      <c r="H101" s="5" t="inlineStr">
        <is>
          <t>Assumption</t>
        </is>
      </c>
    </row>
    <row r="102">
      <c r="B102" s="10" t="inlineStr">
        <is>
          <t>Team manager — salary</t>
        </is>
      </c>
      <c r="C102" s="27" t="n">
        <v>85000</v>
      </c>
      <c r="D102" s="28" t="n">
        <v>85000</v>
      </c>
      <c r="E102" s="28" t="n">
        <v>85000</v>
      </c>
      <c r="F102" s="26">
        <f>CHOOSE('Inputs'!$C$4,D102,C102,E102)</f>
        <v/>
      </c>
      <c r="G102" s="14" t="inlineStr">
        <is>
          <t>£/yr</t>
        </is>
      </c>
      <c r="H102" s="5" t="inlineStr">
        <is>
          <t>Assumption</t>
        </is>
      </c>
    </row>
    <row r="103">
      <c r="B103" s="10" t="inlineStr">
        <is>
          <t>Employment on-costs (NI, pension, benefits)</t>
        </is>
      </c>
      <c r="C103" s="17" t="n">
        <v>0.15</v>
      </c>
      <c r="D103" s="18" t="n">
        <v>0.15</v>
      </c>
      <c r="E103" s="18" t="n">
        <v>0.15</v>
      </c>
      <c r="F103" s="19">
        <f>CHOOSE('Inputs'!$C$4,D103,C103,E103)</f>
        <v/>
      </c>
      <c r="G103" s="14" t="inlineStr">
        <is>
          <t>% of salary</t>
        </is>
      </c>
      <c r="H103" s="5" t="inlineStr">
        <is>
          <t>Assumption: UK employer on-costs</t>
        </is>
      </c>
    </row>
    <row r="104">
      <c r="B104" s="10" t="inlineStr">
        <is>
          <t>Management span (staff per manager)</t>
        </is>
      </c>
      <c r="C104" s="20" t="n">
        <v>8</v>
      </c>
      <c r="D104" s="21" t="n">
        <v>8</v>
      </c>
      <c r="E104" s="21" t="n">
        <v>8</v>
      </c>
      <c r="F104" s="22">
        <f>CHOOSE('Inputs'!$C$4,D104,C104,E104)</f>
        <v/>
      </c>
      <c r="G104" s="14" t="inlineStr">
        <is>
          <t>staff</t>
        </is>
      </c>
      <c r="H104" s="5" t="inlineStr">
        <is>
          <t>Assumption</t>
        </is>
      </c>
    </row>
    <row r="105">
      <c r="B105" s="10" t="inlineStr">
        <is>
          <t>Onboarding a new customer (KYC/AML + setup)</t>
        </is>
      </c>
      <c r="C105" s="38" t="n">
        <v>2.5</v>
      </c>
      <c r="D105" s="30" t="n">
        <v>2.5</v>
      </c>
      <c r="E105" s="30" t="n">
        <v>2.5</v>
      </c>
      <c r="F105" s="31">
        <f>CHOOSE('Inputs'!$C$4,D105,C105,E105)</f>
        <v/>
      </c>
      <c r="G105" s="14" t="inlineStr">
        <is>
          <t>hrs/new customer</t>
        </is>
      </c>
      <c r="H105" s="5" t="inlineStr">
        <is>
          <t>Assumption</t>
        </is>
      </c>
    </row>
    <row r="106">
      <c r="B106" s="10" t="inlineStr">
        <is>
          <t>BCA servicing (queries, payments support)</t>
        </is>
      </c>
      <c r="C106" s="38" t="n">
        <v>0.6</v>
      </c>
      <c r="D106" s="30" t="n">
        <v>0.6</v>
      </c>
      <c r="E106" s="30" t="n">
        <v>0.6</v>
      </c>
      <c r="F106" s="31">
        <f>CHOOSE('Inputs'!$C$4,D106,C106,E106)</f>
        <v/>
      </c>
      <c r="G106" s="14" t="inlineStr">
        <is>
          <t>hrs/account/yr</t>
        </is>
      </c>
      <c r="H106" s="5" t="inlineStr">
        <is>
          <t>Assumption</t>
        </is>
      </c>
    </row>
    <row r="107">
      <c r="B107" s="10" t="inlineStr">
        <is>
          <t>Savings account servicing</t>
        </is>
      </c>
      <c r="C107" s="29" t="n">
        <v>0.2</v>
      </c>
      <c r="D107" s="30" t="n">
        <v>0.2</v>
      </c>
      <c r="E107" s="30" t="n">
        <v>0.2</v>
      </c>
      <c r="F107" s="31">
        <f>CHOOSE('Inputs'!$C$4,D107,C107,E107)</f>
        <v/>
      </c>
      <c r="G107" s="14" t="inlineStr">
        <is>
          <t>hrs/account/yr</t>
        </is>
      </c>
      <c r="H107" s="5" t="inlineStr">
        <is>
          <t>Assumption</t>
        </is>
      </c>
    </row>
    <row r="108">
      <c r="B108" s="10" t="inlineStr">
        <is>
          <t>Deposit account servicing</t>
        </is>
      </c>
      <c r="C108" s="29" t="n">
        <v>0.2</v>
      </c>
      <c r="D108" s="30" t="n">
        <v>0.2</v>
      </c>
      <c r="E108" s="30" t="n">
        <v>0.2</v>
      </c>
      <c r="F108" s="31">
        <f>CHOOSE('Inputs'!$C$4,D108,C108,E108)</f>
        <v/>
      </c>
      <c r="G108" s="14" t="inlineStr">
        <is>
          <t>hrs/account/yr</t>
        </is>
      </c>
      <c r="H108" s="5" t="inlineStr">
        <is>
          <t>Assumption</t>
        </is>
      </c>
    </row>
    <row r="109">
      <c r="B109" s="10" t="inlineStr">
        <is>
          <t>Overdraft annual review &amp; renewal</t>
        </is>
      </c>
      <c r="C109" s="29" t="n">
        <v>1.5</v>
      </c>
      <c r="D109" s="30" t="n">
        <v>1.5</v>
      </c>
      <c r="E109" s="30" t="n">
        <v>1.5</v>
      </c>
      <c r="F109" s="31">
        <f>CHOOSE('Inputs'!$C$4,D109,C109,E109)</f>
        <v/>
      </c>
      <c r="G109" s="14" t="inlineStr">
        <is>
          <t>hrs/facility/yr</t>
        </is>
      </c>
      <c r="H109" s="5" t="inlineStr">
        <is>
          <t>Assumption</t>
        </is>
      </c>
    </row>
    <row r="110">
      <c r="B110" s="10" t="inlineStr">
        <is>
          <t>Term loan underwriting &amp; completion</t>
        </is>
      </c>
      <c r="C110" s="38" t="n">
        <v>14</v>
      </c>
      <c r="D110" s="30" t="n">
        <v>14</v>
      </c>
      <c r="E110" s="30" t="n">
        <v>14</v>
      </c>
      <c r="F110" s="31">
        <f>CHOOSE('Inputs'!$C$4,D110,C110,E110)</f>
        <v/>
      </c>
      <c r="G110" s="14" t="inlineStr">
        <is>
          <t>hrs/new loan</t>
        </is>
      </c>
      <c r="H110" s="5" t="inlineStr">
        <is>
          <t>Assumption: manual SME underwriting (BoE: costs incurred per borrower, not per £ lent)</t>
        </is>
      </c>
    </row>
    <row r="111">
      <c r="B111" s="10" t="inlineStr">
        <is>
          <t>Term loan annual review</t>
        </is>
      </c>
      <c r="C111" s="29" t="n">
        <v>3</v>
      </c>
      <c r="D111" s="30" t="n">
        <v>3</v>
      </c>
      <c r="E111" s="30" t="n">
        <v>3</v>
      </c>
      <c r="F111" s="31">
        <f>CHOOSE('Inputs'!$C$4,D111,C111,E111)</f>
        <v/>
      </c>
      <c r="G111" s="14" t="inlineStr">
        <is>
          <t>hrs/loan/yr</t>
        </is>
      </c>
      <c r="H111" s="5" t="inlineStr">
        <is>
          <t>Assumption</t>
        </is>
      </c>
    </row>
    <row r="112">
      <c r="B112" s="10" t="inlineStr">
        <is>
          <t>Asset finance origination</t>
        </is>
      </c>
      <c r="C112" s="29" t="n">
        <v>4</v>
      </c>
      <c r="D112" s="30" t="n">
        <v>4</v>
      </c>
      <c r="E112" s="30" t="n">
        <v>4</v>
      </c>
      <c r="F112" s="31">
        <f>CHOOSE('Inputs'!$C$4,D112,C112,E112)</f>
        <v/>
      </c>
      <c r="G112" s="14" t="inlineStr">
        <is>
          <t>hrs/new agreement</t>
        </is>
      </c>
      <c r="H112" s="5" t="inlineStr">
        <is>
          <t>Assumption: more automated than term loans</t>
        </is>
      </c>
    </row>
    <row r="113">
      <c r="B113" s="10" t="inlineStr">
        <is>
          <t>Invoice finance client onboarding</t>
        </is>
      </c>
      <c r="C113" s="29" t="n">
        <v>12</v>
      </c>
      <c r="D113" s="30" t="n">
        <v>12</v>
      </c>
      <c r="E113" s="30" t="n">
        <v>12</v>
      </c>
      <c r="F113" s="31">
        <f>CHOOSE('Inputs'!$C$4,D113,C113,E113)</f>
        <v/>
      </c>
      <c r="G113" s="14" t="inlineStr">
        <is>
          <t>hrs/new client</t>
        </is>
      </c>
      <c r="H113" s="5" t="inlineStr">
        <is>
          <t>Assumption: debtor book audit &amp; setup</t>
        </is>
      </c>
    </row>
    <row r="114">
      <c r="B114" s="10" t="inlineStr">
        <is>
          <t>Invoice finance monthly monitoring</t>
        </is>
      </c>
      <c r="C114" s="35" t="n">
        <v>0.75</v>
      </c>
      <c r="D114" s="36" t="n">
        <v>0.75</v>
      </c>
      <c r="E114" s="36" t="n">
        <v>0.75</v>
      </c>
      <c r="F114" s="37">
        <f>CHOOSE('Inputs'!$C$4,D114,C114,E114)</f>
        <v/>
      </c>
      <c r="G114" s="14" t="inlineStr">
        <is>
          <t>hrs/client/month</t>
        </is>
      </c>
      <c r="H114" s="5" t="inlineStr">
        <is>
          <t>Assumption: reconciliations &amp; debtor reviews</t>
        </is>
      </c>
    </row>
    <row r="115">
      <c r="B115" s="10" t="inlineStr">
        <is>
          <t>Card servicing</t>
        </is>
      </c>
      <c r="C115" s="35" t="n">
        <v>0.15</v>
      </c>
      <c r="D115" s="36" t="n">
        <v>0.15</v>
      </c>
      <c r="E115" s="36" t="n">
        <v>0.15</v>
      </c>
      <c r="F115" s="37">
        <f>CHOOSE('Inputs'!$C$4,D115,C115,E115)</f>
        <v/>
      </c>
      <c r="G115" s="14" t="inlineStr">
        <is>
          <t>hrs/card/yr</t>
        </is>
      </c>
      <c r="H115" s="5" t="inlineStr">
        <is>
          <t>Assumption</t>
        </is>
      </c>
    </row>
    <row r="116">
      <c r="B116" s="10" t="inlineStr">
        <is>
          <t>Payments &amp; FX support</t>
        </is>
      </c>
      <c r="C116" s="29" t="n">
        <v>0.2</v>
      </c>
      <c r="D116" s="30" t="n">
        <v>0.2</v>
      </c>
      <c r="E116" s="30" t="n">
        <v>0.2</v>
      </c>
      <c r="F116" s="31">
        <f>CHOOSE('Inputs'!$C$4,D116,C116,E116)</f>
        <v/>
      </c>
      <c r="G116" s="14" t="inlineStr">
        <is>
          <t>hrs/user/yr</t>
        </is>
      </c>
      <c r="H116" s="5" t="inlineStr">
        <is>
          <t>Assumption</t>
        </is>
      </c>
    </row>
    <row r="117">
      <c r="B117" s="10" t="inlineStr">
        <is>
          <t>Share of credit facilities entering collections p.a.</t>
        </is>
      </c>
      <c r="C117" s="17" t="n">
        <v>0.05</v>
      </c>
      <c r="D117" s="18" t="n">
        <v>0.05</v>
      </c>
      <c r="E117" s="18" t="n">
        <v>0.05</v>
      </c>
      <c r="F117" s="19">
        <f>CHOOSE('Inputs'!$C$4,D117,C117,E117)</f>
        <v/>
      </c>
      <c r="G117" s="14" t="inlineStr">
        <is>
          <t>%</t>
        </is>
      </c>
      <c r="H117" s="5" t="inlineStr">
        <is>
          <t>Assumption</t>
        </is>
      </c>
    </row>
    <row r="118">
      <c r="B118" s="10" t="inlineStr">
        <is>
          <t>Activity-cost band — low factor</t>
        </is>
      </c>
      <c r="C118" s="35" t="n">
        <v>0.8</v>
      </c>
      <c r="D118" s="36" t="n">
        <v>0.8</v>
      </c>
      <c r="E118" s="36" t="n">
        <v>0.8</v>
      </c>
      <c r="F118" s="37">
        <f>CHOOSE('Inputs'!$C$4,D118,C118,E118)</f>
        <v/>
      </c>
      <c r="G118" s="14" t="inlineStr">
        <is>
          <t>x central</t>
        </is>
      </c>
      <c r="H118" s="5" t="inlineStr">
        <is>
          <t>Default range on activity costs pending evidence; replace with evidenced per-activity bands (IVE TPM discipline)</t>
        </is>
      </c>
    </row>
    <row r="119">
      <c r="B119" s="10" t="inlineStr">
        <is>
          <t>Activity-cost band — high factor</t>
        </is>
      </c>
      <c r="C119" s="39" t="n">
        <v>1.3</v>
      </c>
      <c r="D119" s="36" t="n">
        <v>1.3</v>
      </c>
      <c r="E119" s="36" t="n">
        <v>1.3</v>
      </c>
      <c r="F119" s="37">
        <f>CHOOSE('Inputs'!$C$4,D119,C119,E119)</f>
        <v/>
      </c>
      <c r="G119" s="14" t="inlineStr">
        <is>
          <t>x central</t>
        </is>
      </c>
      <c r="H119" s="5" t="inlineStr">
        <is>
          <t>High side wider than low: activity times overrun more often than they underrun</t>
        </is>
      </c>
    </row>
    <row r="120">
      <c r="B120" s="10" t="inlineStr">
        <is>
          <t>Collections handling</t>
        </is>
      </c>
      <c r="C120" s="29" t="n">
        <v>4</v>
      </c>
      <c r="D120" s="30" t="n">
        <v>4</v>
      </c>
      <c r="E120" s="30" t="n">
        <v>4</v>
      </c>
      <c r="F120" s="31">
        <f>CHOOSE('Inputs'!$C$4,D120,C120,E120)</f>
        <v/>
      </c>
      <c r="G120" s="14" t="inlineStr">
        <is>
          <t>hrs/case</t>
        </is>
      </c>
      <c r="H120" s="5" t="inlineStr">
        <is>
          <t>Assumption</t>
        </is>
      </c>
    </row>
    <row r="121">
      <c r="B121" s="10" t="inlineStr">
        <is>
          <t>Collateral administration &amp; monitoring</t>
        </is>
      </c>
      <c r="C121" s="29" t="n">
        <v>1</v>
      </c>
      <c r="D121" s="30" t="n">
        <v>1</v>
      </c>
      <c r="E121" s="30" t="n">
        <v>1</v>
      </c>
      <c r="F121" s="31">
        <f>CHOOSE('Inputs'!$C$4,D121,C121,E121)</f>
        <v/>
      </c>
      <c r="G121" s="14" t="inlineStr">
        <is>
          <t>hrs/secured facility/yr</t>
        </is>
      </c>
      <c r="H121" s="5" t="inlineStr">
        <is>
          <t>Assumption: charge registration, valuations, security monitoring on secured lending</t>
        </is>
      </c>
    </row>
    <row r="122">
      <c r="B122" s="10" t="inlineStr">
        <is>
          <t>Recoveries &amp; workout (defaulted secured facilities)</t>
        </is>
      </c>
      <c r="C122" s="29" t="n">
        <v>8</v>
      </c>
      <c r="D122" s="30" t="n">
        <v>8</v>
      </c>
      <c r="E122" s="30" t="n">
        <v>8</v>
      </c>
      <c r="F122" s="31">
        <f>CHOOSE('Inputs'!$C$4,D122,C122,E122)</f>
        <v/>
      </c>
      <c r="G122" s="14" t="inlineStr">
        <is>
          <t>hrs/case</t>
        </is>
      </c>
      <c r="H122" s="5" t="inlineStr">
        <is>
          <t>Assumption: specialist recoveries beyond routine collections</t>
        </is>
      </c>
    </row>
    <row r="123">
      <c r="B123" s="7" t="inlineStr">
        <is>
          <t>G. OVERHEADS &amp; HEAD-OFFICE ALLOCATION</t>
        </is>
      </c>
      <c r="C123" s="8" t="inlineStr"/>
      <c r="D123" s="8" t="inlineStr"/>
      <c r="E123" s="8" t="inlineStr"/>
    </row>
    <row r="124">
      <c r="B124" s="9" t="inlineStr">
        <is>
          <t>Item</t>
        </is>
      </c>
      <c r="C124" s="9" t="inlineStr">
        <is>
          <t>Central</t>
        </is>
      </c>
      <c r="D124" s="9" t="inlineStr">
        <is>
          <t>Pessimistic</t>
        </is>
      </c>
      <c r="E124" s="9" t="inlineStr">
        <is>
          <t>Optimistic</t>
        </is>
      </c>
      <c r="F124" s="9" t="inlineStr">
        <is>
          <t>ACTIVE</t>
        </is>
      </c>
      <c r="G124" s="9" t="inlineStr">
        <is>
          <t>Unit</t>
        </is>
      </c>
      <c r="H124" s="9" t="inlineStr">
        <is>
          <t>Source / note</t>
        </is>
      </c>
    </row>
    <row r="125">
      <c r="B125" s="10" t="inlineStr">
        <is>
          <t>Premises &amp; facilities per unit FTE</t>
        </is>
      </c>
      <c r="C125" s="27" t="n">
        <v>6000</v>
      </c>
      <c r="D125" s="28" t="n">
        <v>6000</v>
      </c>
      <c r="E125" s="28" t="n">
        <v>6000</v>
      </c>
      <c r="F125" s="26">
        <f>CHOOSE('Inputs'!$C$4,D125,C125,E125)</f>
        <v/>
      </c>
      <c r="G125" s="14" t="inlineStr">
        <is>
          <t>£/FTE/yr</t>
        </is>
      </c>
      <c r="H125" s="5" t="inlineStr">
        <is>
          <t>Assumption: regional office cost</t>
        </is>
      </c>
    </row>
    <row r="126">
      <c r="B126" s="10" t="inlineStr">
        <is>
          <t>Equipment &amp; fit-out depreciation per unit FTE</t>
        </is>
      </c>
      <c r="C126" s="27" t="n">
        <v>1200</v>
      </c>
      <c r="D126" s="28" t="n">
        <v>1200</v>
      </c>
      <c r="E126" s="28" t="n">
        <v>1200</v>
      </c>
      <c r="F126" s="26">
        <f>CHOOSE('Inputs'!$C$4,D126,C126,E126)</f>
        <v/>
      </c>
      <c r="G126" s="14" t="inlineStr">
        <is>
          <t>£/FTE/yr</t>
        </is>
      </c>
      <c r="H126" s="5" t="inlineStr">
        <is>
          <t>Assumption</t>
        </is>
      </c>
    </row>
    <row r="127">
      <c r="B127" s="10" t="inlineStr">
        <is>
          <t>Other direct running costs (travel, training, sundry)</t>
        </is>
      </c>
      <c r="C127" s="17" t="n">
        <v>0.05</v>
      </c>
      <c r="D127" s="18" t="n">
        <v>0.05</v>
      </c>
      <c r="E127" s="18" t="n">
        <v>0.05</v>
      </c>
      <c r="F127" s="19">
        <f>CHOOSE('Inputs'!$C$4,D127,C127,E127)</f>
        <v/>
      </c>
      <c r="G127" s="14" t="inlineStr">
        <is>
          <t>% of unit HR cost</t>
        </is>
      </c>
      <c r="H127" s="5" t="inlineStr">
        <is>
          <t>Assumption</t>
        </is>
      </c>
    </row>
    <row r="128">
      <c r="B128" s="10" t="inlineStr">
        <is>
          <t>Unit-level platform &amp; processing cost</t>
        </is>
      </c>
      <c r="C128" s="27" t="n">
        <v>60</v>
      </c>
      <c r="D128" s="28" t="n">
        <v>60</v>
      </c>
      <c r="E128" s="28" t="n">
        <v>60</v>
      </c>
      <c r="F128" s="26">
        <f>CHOOSE('Inputs'!$C$4,D128,C128,E128)</f>
        <v/>
      </c>
      <c r="G128" s="14" t="inlineStr">
        <is>
          <t>£/customer/yr</t>
        </is>
      </c>
      <c r="H128" s="5" t="inlineStr">
        <is>
          <t>Assumption: per-account core banking &amp; payment processing</t>
        </is>
      </c>
    </row>
    <row r="129">
      <c r="B129" s="10" t="inlineStr">
        <is>
          <t>Head office: technology &amp; central operations</t>
        </is>
      </c>
      <c r="C129" s="25" t="n">
        <v>450</v>
      </c>
      <c r="D129" s="25" t="n">
        <v>550</v>
      </c>
      <c r="E129" s="25" t="n">
        <v>380</v>
      </c>
      <c r="F129" s="26">
        <f>CHOOSE('Inputs'!$C$4,D129,C129,E129)</f>
        <v/>
      </c>
      <c r="G129" s="14" t="inlineStr">
        <is>
          <t>£/customer/yr</t>
        </is>
      </c>
      <c r="H129" s="5" t="inlineStr">
        <is>
          <t>Assumption: allocated share of core banking, digital channels, payments infrastructure; banded</t>
        </is>
      </c>
    </row>
    <row r="130">
      <c r="B130" s="10" t="inlineStr">
        <is>
          <t>Head office: risk, compliance, financial crime, audit</t>
        </is>
      </c>
      <c r="C130" s="25" t="n">
        <v>250</v>
      </c>
      <c r="D130" s="28" t="n">
        <v>250</v>
      </c>
      <c r="E130" s="28" t="n">
        <v>250</v>
      </c>
      <c r="F130" s="26">
        <f>CHOOSE('Inputs'!$C$4,D130,C130,E130)</f>
        <v/>
      </c>
      <c r="G130" s="14" t="inlineStr">
        <is>
          <t>£/customer/yr</t>
        </is>
      </c>
      <c r="H130" s="5" t="inlineStr">
        <is>
          <t>Assumption</t>
        </is>
      </c>
    </row>
    <row r="131">
      <c r="B131" s="10" t="inlineStr">
        <is>
          <t>Head office: finance, HR, exec, brand &amp; residual (non-acquisition) marketing</t>
        </is>
      </c>
      <c r="C131" s="25" t="n">
        <v>222</v>
      </c>
      <c r="D131" s="28" t="n">
        <v>222</v>
      </c>
      <c r="E131" s="28" t="n">
        <v>222</v>
      </c>
      <c r="F131" s="26">
        <f>CHOOSE('Inputs'!$C$4,D131,C131,E131)</f>
        <v/>
      </c>
      <c r="G131" s="14" t="inlineStr">
        <is>
          <t>£/customer/yr</t>
        </is>
      </c>
      <c r="H131" s="5" t="inlineStr">
        <is>
          <t>Assumption: HQ lines calibrated so cost:income ratio lands ~40–50% (specialist SME banks: OakNorth ~26%, Allica ~50%, majors' business banking 50%+). v1.3: acquisition-directed marketing (~£28/customer/yr central) carved out into cac_new — the churn-replacement activity</t>
        </is>
      </c>
    </row>
    <row r="132">
      <c r="B132" s="7" t="inlineStr">
        <is>
          <t>G2. DRIVER-BASED ATTRIBUTION OF HEAD-OFFICE POOLS (ABC to the causality limit)</t>
        </is>
      </c>
      <c r="C132" s="8" t="inlineStr"/>
      <c r="D132" s="8" t="inlineStr"/>
      <c r="E132" s="8" t="inlineStr"/>
    </row>
    <row r="133">
      <c r="B133" s="9" t="inlineStr">
        <is>
          <t>Item</t>
        </is>
      </c>
      <c r="C133" s="9" t="inlineStr">
        <is>
          <t>Central</t>
        </is>
      </c>
      <c r="D133" s="9" t="inlineStr">
        <is>
          <t>Pessimistic</t>
        </is>
      </c>
      <c r="E133" s="9" t="inlineStr">
        <is>
          <t>Optimistic</t>
        </is>
      </c>
      <c r="F133" s="9" t="inlineStr">
        <is>
          <t>ACTIVE</t>
        </is>
      </c>
      <c r="G133" s="9" t="inlineStr">
        <is>
          <t>Unit</t>
        </is>
      </c>
      <c r="H133" s="9" t="inlineStr">
        <is>
          <t>Source / note</t>
        </is>
      </c>
    </row>
    <row r="134">
      <c r="B134" s="10" t="inlineStr">
        <is>
          <t>KYC &amp; financial crime — cost per new-customer onboarding</t>
        </is>
      </c>
      <c r="C134" s="27" t="n">
        <v>150</v>
      </c>
      <c r="D134" s="28" t="n">
        <v>150</v>
      </c>
      <c r="E134" s="28" t="n">
        <v>150</v>
      </c>
      <c r="F134" s="26">
        <f>CHOOSE('Inputs'!$C$4,D134,C134,E134)</f>
        <v/>
      </c>
      <c r="G134" s="14" t="inlineStr">
        <is>
          <t>£/new customer</t>
        </is>
      </c>
      <c r="H134" s="5" t="inlineStr">
        <is>
          <t>Driver: onboardings. Attributed from the risk pool; per source methodology, costs are linked to the customer base 'whenever possible' (Simanis IFC Technical Doc, Part II)</t>
        </is>
      </c>
    </row>
    <row r="135">
      <c r="B135" s="10" t="inlineStr">
        <is>
          <t>KYC refresh &amp; ongoing screening — cost per customer</t>
        </is>
      </c>
      <c r="C135" s="27" t="n">
        <v>60</v>
      </c>
      <c r="D135" s="28" t="n">
        <v>60</v>
      </c>
      <c r="E135" s="28" t="n">
        <v>60</v>
      </c>
      <c r="F135" s="26">
        <f>CHOOSE('Inputs'!$C$4,D135,C135,E135)</f>
        <v/>
      </c>
      <c r="G135" s="14" t="inlineStr">
        <is>
          <t>£/customer/yr</t>
        </is>
      </c>
      <c r="H135" s="5" t="inlineStr">
        <is>
          <t>Driver: customers. Attributed from the risk pool</t>
        </is>
      </c>
    </row>
    <row r="136">
      <c r="B136" s="10" t="inlineStr">
        <is>
          <t>Churn replacement — acquisition marketing per new customer won</t>
        </is>
      </c>
      <c r="C136" s="25" t="n">
        <v>240</v>
      </c>
      <c r="D136" s="28" t="n">
        <v>240</v>
      </c>
      <c r="E136" s="28" t="n">
        <v>240</v>
      </c>
      <c r="F136" s="26">
        <f>CHOOSE('Inputs'!$C$4,D136,C136,E136)</f>
        <v/>
      </c>
      <c r="G136" s="14" t="inlineStr">
        <is>
          <t>£/new customer</t>
        </is>
      </c>
      <c r="H136" s="5" t="inlineStr">
        <is>
          <t>Driver: net churn replacement (tab 1). Demand-generation spend (media, campaigns, incentives) to win the replacement relationship — carved out of the corporate-centre pool so the churn lever inflates the FULL replacement cost, not just processing. Benchmark: SME CAC £150–500/customer; BCR incentive schemes paid far more. RM origination effort (lending) and onboarding processing (KYC, setup hours) are costed separately</t>
        </is>
      </c>
    </row>
    <row r="137">
      <c r="B137" s="10" t="inlineStr">
        <is>
          <t>Payments operations &amp; processing — cost per current account</t>
        </is>
      </c>
      <c r="C137" s="27" t="n">
        <v>120</v>
      </c>
      <c r="D137" s="28" t="n">
        <v>120</v>
      </c>
      <c r="E137" s="28" t="n">
        <v>120</v>
      </c>
      <c r="F137" s="26">
        <f>CHOOSE('Inputs'!$C$4,D137,C137,E137)</f>
        <v/>
      </c>
      <c r="G137" s="14" t="inlineStr">
        <is>
          <t>£/BCA/yr</t>
        </is>
      </c>
      <c r="H137" s="5" t="inlineStr">
        <is>
          <t>Driver: current accounts (the transaction-carrying product). Attributed from the tech pool</t>
        </is>
      </c>
    </row>
    <row r="138">
      <c r="B138" s="10" t="inlineStr">
        <is>
          <t>Core banking system — cost per account of any type</t>
        </is>
      </c>
      <c r="C138" s="27" t="n">
        <v>30</v>
      </c>
      <c r="D138" s="28" t="n">
        <v>30</v>
      </c>
      <c r="E138" s="28" t="n">
        <v>30</v>
      </c>
      <c r="F138" s="26">
        <f>CHOOSE('Inputs'!$C$4,D138,C138,E138)</f>
        <v/>
      </c>
      <c r="G138" s="14" t="inlineStr">
        <is>
          <t>£/account/yr</t>
        </is>
      </c>
      <c r="H138" s="5" t="inlineStr">
        <is>
          <t>Driver: accounts on the ledger. Attributed from the tech pool</t>
        </is>
      </c>
    </row>
    <row r="139">
      <c r="B139" s="10" t="inlineStr">
        <is>
          <t>Credit systems &amp; portfolio monitoring — cost per credit facility</t>
        </is>
      </c>
      <c r="C139" s="27" t="n">
        <v>180</v>
      </c>
      <c r="D139" s="28" t="n">
        <v>180</v>
      </c>
      <c r="E139" s="28" t="n">
        <v>180</v>
      </c>
      <c r="F139" s="26">
        <f>CHOOSE('Inputs'!$C$4,D139,C139,E139)</f>
        <v/>
      </c>
      <c r="G139" s="14" t="inlineStr">
        <is>
          <t>£/facility/yr</t>
        </is>
      </c>
      <c r="H139" s="5" t="inlineStr">
        <is>
          <t>Driver: live credit facilities. Attributed from the tech pool</t>
        </is>
      </c>
    </row>
    <row r="140">
      <c r="B140" s="7" t="inlineStr">
        <is>
          <t>G3. ADDITIONAL COSTS — FRAUD, LEVIES, CHANGE (the lines unit models often omit)</t>
        </is>
      </c>
      <c r="C140" s="8" t="inlineStr"/>
      <c r="D140" s="8" t="inlineStr"/>
      <c r="E140" s="8" t="inlineStr"/>
    </row>
    <row r="141">
      <c r="B141" s="9" t="inlineStr">
        <is>
          <t>Item</t>
        </is>
      </c>
      <c r="C141" s="9" t="inlineStr">
        <is>
          <t>Central</t>
        </is>
      </c>
      <c r="D141" s="9" t="inlineStr">
        <is>
          <t>Pessimistic</t>
        </is>
      </c>
      <c r="E141" s="9" t="inlineStr">
        <is>
          <t>Optimistic</t>
        </is>
      </c>
      <c r="F141" s="9" t="inlineStr">
        <is>
          <t>ACTIVE</t>
        </is>
      </c>
      <c r="G141" s="9" t="inlineStr">
        <is>
          <t>Unit</t>
        </is>
      </c>
      <c r="H141" s="9" t="inlineStr">
        <is>
          <t>Source / note</t>
        </is>
      </c>
    </row>
    <row r="142">
      <c r="B142" s="10" t="inlineStr">
        <is>
          <t>Fraud &amp; payment losses (incl. APP reimbursement) per current account</t>
        </is>
      </c>
      <c r="C142" s="25" t="n">
        <v>45</v>
      </c>
      <c r="D142" s="28" t="n">
        <v>45</v>
      </c>
      <c r="E142" s="28" t="n">
        <v>45</v>
      </c>
      <c r="F142" s="26">
        <f>CHOOSE('Inputs'!$C$4,D142,C142,E142)</f>
        <v/>
      </c>
      <c r="G142" s="14" t="inlineStr">
        <is>
          <t>£/BCA/yr</t>
        </is>
      </c>
      <c r="H142" s="5" t="inlineStr">
        <is>
          <t>Assumption: net fraud losses incl. mandatory APP scam reimbursement (PSR rules, 2024+); driver = current accounts</t>
        </is>
      </c>
    </row>
    <row r="143">
      <c r="B143" s="10" t="inlineStr">
        <is>
          <t>FSCS deposit-protection levy</t>
        </is>
      </c>
      <c r="C143" s="15" t="n">
        <v>0.0005999999999999999</v>
      </c>
      <c r="D143" s="12" t="n">
        <v>0.0005999999999999999</v>
      </c>
      <c r="E143" s="12" t="n">
        <v>0.0005999999999999999</v>
      </c>
      <c r="F143" s="13">
        <f>CHOOSE('Inputs'!$C$4,D143,C143,E143)</f>
        <v/>
      </c>
      <c r="G143" s="14" t="inlineStr">
        <is>
          <t>% of protected deposits</t>
        </is>
      </c>
      <c r="H143" s="5" t="inlineStr">
        <is>
          <t>Assumption: Financial Services Compensation Scheme levy, charged on protected deposit balances</t>
        </is>
      </c>
    </row>
    <row r="144">
      <c r="B144" s="10" t="inlineStr">
        <is>
          <t>Share of deposit balances that are FSCS-protected</t>
        </is>
      </c>
      <c r="C144" s="17" t="n">
        <v>0.6</v>
      </c>
      <c r="D144" s="18" t="n">
        <v>0.6</v>
      </c>
      <c r="E144" s="18" t="n">
        <v>0.6</v>
      </c>
      <c r="F144" s="19">
        <f>CHOOSE('Inputs'!$C$4,D144,C144,E144)</f>
        <v/>
      </c>
      <c r="G144" s="14" t="inlineStr">
        <is>
          <t>%</t>
        </is>
      </c>
      <c r="H144" s="5" t="inlineStr">
        <is>
          <t>Assumption: FSCS protects up to £85k per depositor; SME balances partly exceed the cap</t>
        </is>
      </c>
    </row>
    <row r="145">
      <c r="B145" s="10" t="inlineStr">
        <is>
          <t>Change-the-bank / transformation spend per customer</t>
        </is>
      </c>
      <c r="C145" s="25" t="n">
        <v>120</v>
      </c>
      <c r="D145" s="28" t="n">
        <v>120</v>
      </c>
      <c r="E145" s="28" t="n">
        <v>120</v>
      </c>
      <c r="F145" s="26">
        <f>CHOOSE('Inputs'!$C$4,D145,C145,E145)</f>
        <v/>
      </c>
      <c r="G145" s="14" t="inlineStr">
        <is>
          <t>£/customer/yr</t>
        </is>
      </c>
      <c r="H145" s="5" t="inlineStr">
        <is>
          <t>Assumption: ongoing regulatory change + tech transformation, ~10–20% of a bank cost base; held as a portfolio hurdle, not attributed to products</t>
        </is>
      </c>
    </row>
    <row r="146">
      <c r="B146" s="7" t="inlineStr">
        <is>
          <t>G4. SEGMENT GRANULARITY — share of each product's units held by RM-MANAGED customers</t>
        </is>
      </c>
      <c r="C146" s="8" t="inlineStr"/>
      <c r="D146" s="8" t="inlineStr"/>
      <c r="E146" s="8" t="inlineStr"/>
    </row>
    <row r="147">
      <c r="B147" s="9" t="inlineStr">
        <is>
          <t>Item</t>
        </is>
      </c>
      <c r="C147" s="9" t="inlineStr">
        <is>
          <t>Central</t>
        </is>
      </c>
      <c r="D147" s="9" t="inlineStr">
        <is>
          <t>Pessimistic</t>
        </is>
      </c>
      <c r="E147" s="9" t="inlineStr">
        <is>
          <t>Optimistic</t>
        </is>
      </c>
      <c r="F147" s="9" t="inlineStr">
        <is>
          <t>ACTIVE</t>
        </is>
      </c>
      <c r="G147" s="9" t="inlineStr">
        <is>
          <t>Unit</t>
        </is>
      </c>
      <c r="H147" s="9" t="inlineStr">
        <is>
          <t>Source / note</t>
        </is>
      </c>
    </row>
    <row r="148">
      <c r="B148" s="10" t="inlineStr">
        <is>
          <t>Current accounts — RM-held share</t>
        </is>
      </c>
      <c r="C148" s="17" t="n">
        <v>0.15</v>
      </c>
      <c r="D148" s="18" t="n">
        <v>0.15</v>
      </c>
      <c r="E148" s="18" t="n">
        <v>0.15</v>
      </c>
      <c r="F148" s="19">
        <f>CHOOSE('Inputs'!$C$4,D148,C148,E148)</f>
        <v/>
      </c>
      <c r="G148" s="14" t="inlineStr">
        <is>
          <t>%</t>
        </is>
      </c>
      <c r="H148" s="5" t="inlineStr">
        <is>
          <t>Equals pct_rm (every customer holds a BCA). Scenario dimension: shift with channel moves</t>
        </is>
      </c>
    </row>
    <row r="149">
      <c r="B149" s="10" t="inlineStr">
        <is>
          <t>Instant savings — RM-held share</t>
        </is>
      </c>
      <c r="C149" s="17" t="n">
        <v>0.2</v>
      </c>
      <c r="D149" s="18" t="n">
        <v>0.2</v>
      </c>
      <c r="E149" s="18" t="n">
        <v>0.2</v>
      </c>
      <c r="F149" s="19">
        <f>CHOOSE('Inputs'!$C$4,D149,C149,E149)</f>
        <v/>
      </c>
      <c r="G149" s="14" t="inlineStr">
        <is>
          <t>%</t>
        </is>
      </c>
      <c r="H149" s="5" t="inlineStr">
        <is>
          <t>Assumption — for scenario building; validate from segment data</t>
        </is>
      </c>
    </row>
    <row r="150">
      <c r="B150" s="10" t="inlineStr">
        <is>
          <t>Notice &amp; fixed deposits — RM-held share</t>
        </is>
      </c>
      <c r="C150" s="17" t="n">
        <v>0.3</v>
      </c>
      <c r="D150" s="18" t="n">
        <v>0.3</v>
      </c>
      <c r="E150" s="18" t="n">
        <v>0.3</v>
      </c>
      <c r="F150" s="19">
        <f>CHOOSE('Inputs'!$C$4,D150,C150,E150)</f>
        <v/>
      </c>
      <c r="G150" s="14" t="inlineStr">
        <is>
          <t>%</t>
        </is>
      </c>
      <c r="H150" s="5" t="inlineStr">
        <is>
          <t>Assumption</t>
        </is>
      </c>
    </row>
    <row r="151">
      <c r="B151" s="10" t="inlineStr">
        <is>
          <t>Overdrafts — RM-held share</t>
        </is>
      </c>
      <c r="C151" s="17" t="n">
        <v>0.4</v>
      </c>
      <c r="D151" s="18" t="n">
        <v>0.4</v>
      </c>
      <c r="E151" s="18" t="n">
        <v>0.4</v>
      </c>
      <c r="F151" s="19">
        <f>CHOOSE('Inputs'!$C$4,D151,C151,E151)</f>
        <v/>
      </c>
      <c r="G151" s="14" t="inlineStr">
        <is>
          <t>%</t>
        </is>
      </c>
      <c r="H151" s="5" t="inlineStr">
        <is>
          <t>Assumption</t>
        </is>
      </c>
    </row>
    <row r="152">
      <c r="B152" s="10" t="inlineStr">
        <is>
          <t>Term loans — RM-held share</t>
        </is>
      </c>
      <c r="C152" s="17" t="n">
        <v>0.6</v>
      </c>
      <c r="D152" s="18" t="n">
        <v>0.6</v>
      </c>
      <c r="E152" s="18" t="n">
        <v>0.6</v>
      </c>
      <c r="F152" s="19">
        <f>CHOOSE('Inputs'!$C$4,D152,C152,E152)</f>
        <v/>
      </c>
      <c r="G152" s="14" t="inlineStr">
        <is>
          <t>%</t>
        </is>
      </c>
      <c r="H152" s="5" t="inlineStr">
        <is>
          <t>Consistent with rm_lend_share (RM customers are the larger borrowers)</t>
        </is>
      </c>
    </row>
    <row r="153">
      <c r="B153" s="10" t="inlineStr">
        <is>
          <t>Asset finance — RM-held share</t>
        </is>
      </c>
      <c r="C153" s="17" t="n">
        <v>0.6</v>
      </c>
      <c r="D153" s="18" t="n">
        <v>0.6</v>
      </c>
      <c r="E153" s="18" t="n">
        <v>0.6</v>
      </c>
      <c r="F153" s="19">
        <f>CHOOSE('Inputs'!$C$4,D153,C153,E153)</f>
        <v/>
      </c>
      <c r="G153" s="14" t="inlineStr">
        <is>
          <t>%</t>
        </is>
      </c>
      <c r="H153" s="5" t="inlineStr">
        <is>
          <t>Assumption</t>
        </is>
      </c>
    </row>
    <row r="154">
      <c r="B154" s="10" t="inlineStr">
        <is>
          <t>Invoice finance — RM-held share</t>
        </is>
      </c>
      <c r="C154" s="17" t="n">
        <v>0.7</v>
      </c>
      <c r="D154" s="18" t="n">
        <v>0.7</v>
      </c>
      <c r="E154" s="18" t="n">
        <v>0.7</v>
      </c>
      <c r="F154" s="19">
        <f>CHOOSE('Inputs'!$C$4,D154,C154,E154)</f>
        <v/>
      </c>
      <c r="G154" s="14" t="inlineStr">
        <is>
          <t>%</t>
        </is>
      </c>
      <c r="H154" s="5" t="inlineStr">
        <is>
          <t>Assumption — consultative product</t>
        </is>
      </c>
    </row>
    <row r="155">
      <c r="B155" s="10" t="inlineStr">
        <is>
          <t>Business cards — RM-held share</t>
        </is>
      </c>
      <c r="C155" s="17" t="n">
        <v>0.2</v>
      </c>
      <c r="D155" s="18" t="n">
        <v>0.2</v>
      </c>
      <c r="E155" s="18" t="n">
        <v>0.2</v>
      </c>
      <c r="F155" s="19">
        <f>CHOOSE('Inputs'!$C$4,D155,C155,E155)</f>
        <v/>
      </c>
      <c r="G155" s="14" t="inlineStr">
        <is>
          <t>%</t>
        </is>
      </c>
      <c r="H155" s="5" t="inlineStr">
        <is>
          <t>Assumption</t>
        </is>
      </c>
    </row>
    <row r="156">
      <c r="B156" s="10" t="inlineStr">
        <is>
          <t>Payments &amp; FX users — RM-held share</t>
        </is>
      </c>
      <c r="C156" s="17" t="n">
        <v>0.4</v>
      </c>
      <c r="D156" s="18" t="n">
        <v>0.4</v>
      </c>
      <c r="E156" s="18" t="n">
        <v>0.4</v>
      </c>
      <c r="F156" s="19">
        <f>CHOOSE('Inputs'!$C$4,D156,C156,E156)</f>
        <v/>
      </c>
      <c r="G156" s="14" t="inlineStr">
        <is>
          <t>%</t>
        </is>
      </c>
      <c r="H156" s="5" t="inlineStr">
        <is>
          <t>Assumption</t>
        </is>
      </c>
    </row>
    <row r="157">
      <c r="B157" s="7" t="inlineStr">
        <is>
          <t>H. RM SALES EFFORT PER ORIGINATION (RMs are a sales force, not a service cost)</t>
        </is>
      </c>
      <c r="C157" s="8" t="inlineStr"/>
      <c r="D157" s="8" t="inlineStr"/>
      <c r="E157" s="8" t="inlineStr"/>
    </row>
    <row r="158">
      <c r="B158" s="9" t="inlineStr">
        <is>
          <t>Item</t>
        </is>
      </c>
      <c r="C158" s="9" t="inlineStr">
        <is>
          <t>Central</t>
        </is>
      </c>
      <c r="D158" s="9" t="inlineStr">
        <is>
          <t>Pessimistic</t>
        </is>
      </c>
      <c r="E158" s="9" t="inlineStr">
        <is>
          <t>Optimistic</t>
        </is>
      </c>
      <c r="F158" s="9" t="inlineStr">
        <is>
          <t>ACTIVE</t>
        </is>
      </c>
      <c r="G158" s="9" t="inlineStr">
        <is>
          <t>Unit</t>
        </is>
      </c>
      <c r="H158" s="9" t="inlineStr">
        <is>
          <t>Source / note</t>
        </is>
      </c>
    </row>
    <row r="159">
      <c r="B159" s="10" t="inlineStr">
        <is>
          <t>Relative RM effort — per new term loan</t>
        </is>
      </c>
      <c r="C159" s="35" t="n">
        <v>1</v>
      </c>
      <c r="D159" s="36" t="n">
        <v>1</v>
      </c>
      <c r="E159" s="36" t="n">
        <v>1</v>
      </c>
      <c r="F159" s="37">
        <f>CHOOSE('Inputs'!$C$4,D159,C159,E159)</f>
        <v/>
      </c>
      <c r="G159" s="14" t="inlineStr">
        <is>
          <t>index</t>
        </is>
      </c>
      <c r="H159" s="5" t="inlineStr">
        <is>
          <t>Assumption: RM cost is customer-acquisition cost, attributed per origination by relative effort</t>
        </is>
      </c>
    </row>
    <row r="160">
      <c r="B160" s="10" t="inlineStr">
        <is>
          <t>Relative RM effort — per new asset finance agreement</t>
        </is>
      </c>
      <c r="C160" s="35" t="n">
        <v>0.5</v>
      </c>
      <c r="D160" s="36" t="n">
        <v>0.5</v>
      </c>
      <c r="E160" s="36" t="n">
        <v>0.5</v>
      </c>
      <c r="F160" s="37">
        <f>CHOOSE('Inputs'!$C$4,D160,C160,E160)</f>
        <v/>
      </c>
      <c r="G160" s="14" t="inlineStr">
        <is>
          <t>index</t>
        </is>
      </c>
      <c r="H160" s="5" t="inlineStr">
        <is>
          <t>Assumption: more automated sale</t>
        </is>
      </c>
    </row>
    <row r="161">
      <c r="B161" s="10" t="inlineStr">
        <is>
          <t>Relative RM effort — per new invoice finance client</t>
        </is>
      </c>
      <c r="C161" s="35" t="n">
        <v>1.5</v>
      </c>
      <c r="D161" s="36" t="n">
        <v>1.5</v>
      </c>
      <c r="E161" s="36" t="n">
        <v>1.5</v>
      </c>
      <c r="F161" s="37">
        <f>CHOOSE('Inputs'!$C$4,D161,C161,E161)</f>
        <v/>
      </c>
      <c r="G161" s="14" t="inlineStr">
        <is>
          <t>index</t>
        </is>
      </c>
      <c r="H161" s="5" t="inlineStr">
        <is>
          <t>Assumption: complex, consultative sale</t>
        </is>
      </c>
    </row>
    <row r="162">
      <c r="B162" s="10" t="inlineStr">
        <is>
          <t>Relative RM effort — per overdraft renewal</t>
        </is>
      </c>
      <c r="C162" s="39" t="n">
        <v>0.25</v>
      </c>
      <c r="D162" s="36" t="n">
        <v>0.25</v>
      </c>
      <c r="E162" s="36" t="n">
        <v>0.25</v>
      </c>
      <c r="F162" s="37">
        <f>CHOOSE('Inputs'!$C$4,D162,C162,E162)</f>
        <v/>
      </c>
      <c r="G162" s="14" t="inlineStr">
        <is>
          <t>index</t>
        </is>
      </c>
      <c r="H162" s="5" t="inlineStr">
        <is>
          <t>Assumption: annual renewals; a key automation lever</t>
        </is>
      </c>
    </row>
    <row r="163">
      <c r="B163" s="10" t="inlineStr">
        <is>
          <t>RM time — ORIGINATE (sales, attributed per origination)</t>
        </is>
      </c>
      <c r="C163" s="17" t="n">
        <v>0.5</v>
      </c>
      <c r="D163" s="18" t="n">
        <v>0.5</v>
      </c>
      <c r="E163" s="18" t="n">
        <v>0.5</v>
      </c>
      <c r="F163" s="19">
        <f>CHOOSE('Inputs'!$C$4,D163,C163,E163)</f>
        <v/>
      </c>
      <c r="G163" s="14" t="inlineStr">
        <is>
          <t>% of RM time</t>
        </is>
      </c>
      <c r="H163" s="5" t="inlineStr">
        <is>
          <t>The three RM activities work as a system: stewardship generates the signals origination targets; origination builds the book stewardship protects; defence preserves the relationships that carry future originations</t>
        </is>
      </c>
    </row>
    <row r="164">
      <c r="B164" s="10" t="inlineStr">
        <is>
          <t>RM time — STEWARD (credit stewardship of the covered book)</t>
        </is>
      </c>
      <c r="C164" s="17" t="n">
        <v>0.3</v>
      </c>
      <c r="D164" s="18" t="n">
        <v>0.3</v>
      </c>
      <c r="E164" s="18" t="n">
        <v>0.3</v>
      </c>
      <c r="F164" s="19">
        <f>CHOOSE('Inputs'!$C$4,D164,C164,E164)</f>
        <v/>
      </c>
      <c r="G164" s="14" t="inlineStr">
        <is>
          <t>% of RM time</t>
        </is>
      </c>
      <c r="H164" s="5" t="inlineStr">
        <is>
          <t>Attributed to lending products pro-rata covered balances; pays back through lower PDs</t>
        </is>
      </c>
    </row>
    <row r="165">
      <c r="B165" s="10" t="inlineStr">
        <is>
          <t>RM time — DEFEND (retention at contested moments)</t>
        </is>
      </c>
      <c r="C165" s="17" t="n">
        <v>0.2</v>
      </c>
      <c r="D165" s="18" t="n">
        <v>0.2</v>
      </c>
      <c r="E165" s="18" t="n">
        <v>0.2</v>
      </c>
      <c r="F165" s="19">
        <f>CHOOSE('Inputs'!$C$4,D165,C165,E165)</f>
        <v/>
      </c>
      <c r="G165" s="14" t="inlineStr">
        <is>
          <t>% of RM time</t>
        </is>
      </c>
      <c r="H165" s="5" t="inlineStr">
        <is>
          <t>Held at centre level as tested retention spend — the three shares must sum to 100%</t>
        </is>
      </c>
    </row>
    <row r="166">
      <c r="B166" s="10" t="inlineStr">
        <is>
          <t>Share of lending balances held by RM-managed customers</t>
        </is>
      </c>
      <c r="C166" s="17" t="n">
        <v>0.6</v>
      </c>
      <c r="D166" s="18" t="n">
        <v>0.6</v>
      </c>
      <c r="E166" s="18" t="n">
        <v>0.6</v>
      </c>
      <c r="F166" s="19">
        <f>CHOOSE('Inputs'!$C$4,D166,C166,E166)</f>
        <v/>
      </c>
      <c r="G166" s="14" t="inlineStr">
        <is>
          <t>%</t>
        </is>
      </c>
      <c r="H166" s="5" t="inlineStr">
        <is>
          <t>Assumption: RM-managed customers are the larger borrowers</t>
        </is>
      </c>
    </row>
    <row r="167">
      <c r="B167" s="10" t="inlineStr">
        <is>
          <t>Stewardship effect: relative PD reduction on RM-covered balances</t>
        </is>
      </c>
      <c r="C167" s="23" t="n">
        <v>0.2</v>
      </c>
      <c r="D167" s="18" t="n">
        <v>0.2</v>
      </c>
      <c r="E167" s="18" t="n">
        <v>0.2</v>
      </c>
      <c r="F167" s="19">
        <f>CHOOSE('Inputs'!$C$4,D167,C167,E167)</f>
        <v/>
      </c>
      <c r="G167" s="14" t="inlineStr">
        <is>
          <t>%</t>
        </is>
      </c>
      <c r="H167" s="5" t="inlineStr">
        <is>
          <t>Relationship-lending evidence: soft information and early warning lower default rates; validate against covered vs uncovered book performance</t>
        </is>
      </c>
    </row>
    <row r="168">
      <c r="B168" s="10" t="inlineStr">
        <is>
          <t>Defence effect: relative churn reduction among RM-managed customers</t>
        </is>
      </c>
      <c r="C168" s="23" t="n">
        <v>0.25</v>
      </c>
      <c r="D168" s="18" t="n">
        <v>0.25</v>
      </c>
      <c r="E168" s="18" t="n">
        <v>0.25</v>
      </c>
      <c r="F168" s="19">
        <f>CHOOSE('Inputs'!$C$4,D168,C168,E168)</f>
        <v/>
      </c>
      <c r="G168" s="14" t="inlineStr">
        <is>
          <t>%</t>
        </is>
      </c>
      <c r="H168" s="5" t="inlineStr">
        <is>
          <t>Must be validated with holdout tests — pay only for incremental saves</t>
        </is>
      </c>
    </row>
    <row r="169">
      <c r="B169" s="10" t="inlineStr">
        <is>
          <t>Expected remaining relationship life of a defended customer</t>
        </is>
      </c>
      <c r="C169" s="20" t="n">
        <v>5</v>
      </c>
      <c r="D169" s="21" t="n">
        <v>5</v>
      </c>
      <c r="E169" s="21" t="n">
        <v>5</v>
      </c>
      <c r="F169" s="22">
        <f>CHOOSE('Inputs'!$C$4,D169,C169,E169)</f>
        <v/>
      </c>
      <c r="G169" s="14" t="inlineStr">
        <is>
          <t>years</t>
        </is>
      </c>
      <c r="H169" s="5" t="inlineStr">
        <is>
          <t>A saved customer is an annuity, not one year of contribution</t>
        </is>
      </c>
    </row>
    <row r="170">
      <c r="B170" s="7" t="inlineStr">
        <is>
          <t>I. ORGANISATION AT SCALE (drives the Org Structure tab)</t>
        </is>
      </c>
      <c r="C170" s="8" t="inlineStr"/>
      <c r="D170" s="8" t="inlineStr"/>
      <c r="E170" s="8" t="inlineStr"/>
    </row>
    <row r="171">
      <c r="B171" s="9" t="inlineStr">
        <is>
          <t>Item</t>
        </is>
      </c>
      <c r="C171" s="9" t="inlineStr">
        <is>
          <t>Central</t>
        </is>
      </c>
      <c r="D171" s="9" t="inlineStr">
        <is>
          <t>Pessimistic</t>
        </is>
      </c>
      <c r="E171" s="9" t="inlineStr">
        <is>
          <t>Optimistic</t>
        </is>
      </c>
      <c r="F171" s="9" t="inlineStr">
        <is>
          <t>ACTIVE</t>
        </is>
      </c>
      <c r="G171" s="9" t="inlineStr">
        <is>
          <t>Unit</t>
        </is>
      </c>
      <c r="H171" s="9" t="inlineStr">
        <is>
          <t>Source / note</t>
        </is>
      </c>
    </row>
    <row r="172">
      <c r="B172" s="10" t="inlineStr">
        <is>
          <t>Regional business centres at scale</t>
        </is>
      </c>
      <c r="C172" s="24" t="n">
        <v>300</v>
      </c>
      <c r="D172" s="21" t="n">
        <v>300</v>
      </c>
      <c r="E172" s="21" t="n">
        <v>300</v>
      </c>
      <c r="F172" s="22">
        <f>CHOOSE('Inputs'!$C$4,D172,C172,E172)</f>
        <v/>
      </c>
      <c r="G172" s="14" t="inlineStr">
        <is>
          <t>centres</t>
        </is>
      </c>
      <c r="H172" s="5" t="inlineStr">
        <is>
          <t>Set for 900,000 current-account customers (300 × 3,000). Note: per-customer head-office allocations are held flat — conservative, as central costs per customer typically fall at this scale</t>
        </is>
      </c>
    </row>
    <row r="173">
      <c r="B173" s="10" t="inlineStr">
        <is>
          <t>Technology &amp; central ops — staff share of allocated cost</t>
        </is>
      </c>
      <c r="C173" s="17" t="n">
        <v>0.55</v>
      </c>
      <c r="D173" s="18" t="n">
        <v>0.55</v>
      </c>
      <c r="E173" s="18" t="n">
        <v>0.55</v>
      </c>
      <c r="F173" s="19">
        <f>CHOOSE('Inputs'!$C$4,D173,C173,E173)</f>
        <v/>
      </c>
      <c r="G173" s="14" t="inlineStr">
        <is>
          <t>%</t>
        </is>
      </c>
      <c r="H173" s="5" t="inlineStr">
        <is>
          <t>Assumption: remainder is software licences, hosting, card scheme &amp; processing fees</t>
        </is>
      </c>
    </row>
    <row r="174">
      <c r="B174" s="10" t="inlineStr">
        <is>
          <t>Technology &amp; central ops — average loaded cost per FTE</t>
        </is>
      </c>
      <c r="C174" s="27" t="n">
        <v>80000</v>
      </c>
      <c r="D174" s="28" t="n">
        <v>80000</v>
      </c>
      <c r="E174" s="28" t="n">
        <v>80000</v>
      </c>
      <c r="F174" s="26">
        <f>CHOOSE('Inputs'!$C$4,D174,C174,E174)</f>
        <v/>
      </c>
      <c r="G174" s="14" t="inlineStr">
        <is>
          <t>£/FTE/yr</t>
        </is>
      </c>
      <c r="H174" s="5" t="inlineStr">
        <is>
          <t>Assumption: salary + on-costs (tech roles skew senior)</t>
        </is>
      </c>
    </row>
    <row r="175">
      <c r="B175" s="10" t="inlineStr">
        <is>
          <t>Risk, compliance &amp; audit — staff share of allocated cost</t>
        </is>
      </c>
      <c r="C175" s="17" t="n">
        <v>0.75</v>
      </c>
      <c r="D175" s="18" t="n">
        <v>0.75</v>
      </c>
      <c r="E175" s="18" t="n">
        <v>0.75</v>
      </c>
      <c r="F175" s="19">
        <f>CHOOSE('Inputs'!$C$4,D175,C175,E175)</f>
        <v/>
      </c>
      <c r="G175" s="14" t="inlineStr">
        <is>
          <t>%</t>
        </is>
      </c>
      <c r="H175" s="5" t="inlineStr">
        <is>
          <t>Assumption: remainder is data, tools, professional fees</t>
        </is>
      </c>
    </row>
    <row r="176">
      <c r="B176" s="10" t="inlineStr">
        <is>
          <t>Risk, compliance &amp; audit — average loaded cost per FTE</t>
        </is>
      </c>
      <c r="C176" s="27" t="n">
        <v>75000</v>
      </c>
      <c r="D176" s="28" t="n">
        <v>75000</v>
      </c>
      <c r="E176" s="28" t="n">
        <v>75000</v>
      </c>
      <c r="F176" s="26">
        <f>CHOOSE('Inputs'!$C$4,D176,C176,E176)</f>
        <v/>
      </c>
      <c r="G176" s="14" t="inlineStr">
        <is>
          <t>£/FTE/yr</t>
        </is>
      </c>
      <c r="H176" s="5" t="inlineStr">
        <is>
          <t>Assumption</t>
        </is>
      </c>
    </row>
    <row r="177">
      <c r="B177" s="10" t="inlineStr">
        <is>
          <t>Corporate centre — staff share of allocated cost</t>
        </is>
      </c>
      <c r="C177" s="17" t="n">
        <v>0.6</v>
      </c>
      <c r="D177" s="18" t="n">
        <v>0.6</v>
      </c>
      <c r="E177" s="18" t="n">
        <v>0.6</v>
      </c>
      <c r="F177" s="19">
        <f>CHOOSE('Inputs'!$C$4,D177,C177,E177)</f>
        <v/>
      </c>
      <c r="G177" s="14" t="inlineStr">
        <is>
          <t>%</t>
        </is>
      </c>
      <c r="H177" s="5" t="inlineStr">
        <is>
          <t>Assumption: remainder is brand &amp; media spend, audit &amp; professional fees, facilities</t>
        </is>
      </c>
    </row>
    <row r="178">
      <c r="B178" s="10" t="inlineStr">
        <is>
          <t>Corporate centre — average loaded cost per FTE</t>
        </is>
      </c>
      <c r="C178" s="27" t="n">
        <v>75000</v>
      </c>
      <c r="D178" s="28" t="n">
        <v>75000</v>
      </c>
      <c r="E178" s="28" t="n">
        <v>75000</v>
      </c>
      <c r="F178" s="26">
        <f>CHOOSE('Inputs'!$C$4,D178,C178,E178)</f>
        <v/>
      </c>
      <c r="G178" s="14" t="inlineStr">
        <is>
          <t>£/FTE/yr</t>
        </is>
      </c>
      <c r="H178" s="5" t="inlineStr">
        <is>
          <t>Assumption</t>
        </is>
      </c>
    </row>
    <row r="179">
      <c r="B179" s="7" t="inlineStr">
        <is>
          <t>O. COST SCALE ELASTICITY (operational leverage, v1.7)</t>
        </is>
      </c>
      <c r="C179" s="8" t="inlineStr"/>
      <c r="D179" s="8" t="inlineStr"/>
      <c r="E179" s="8" t="inlineStr"/>
    </row>
    <row r="180">
      <c r="B180" s="9" t="inlineStr">
        <is>
          <t>Item</t>
        </is>
      </c>
      <c r="C180" s="9" t="inlineStr">
        <is>
          <t>Central</t>
        </is>
      </c>
      <c r="D180" s="9" t="inlineStr">
        <is>
          <t>Pessimistic</t>
        </is>
      </c>
      <c r="E180" s="9" t="inlineStr">
        <is>
          <t>Optimistic</t>
        </is>
      </c>
      <c r="F180" s="9" t="inlineStr">
        <is>
          <t>ACTIVE</t>
        </is>
      </c>
      <c r="G180" s="9" t="inlineStr">
        <is>
          <t>Unit</t>
        </is>
      </c>
      <c r="H180" s="9" t="inlineStr">
        <is>
          <t>Source / note</t>
        </is>
      </c>
    </row>
    <row r="181">
      <c r="B181" s="10" t="inlineStr">
        <is>
          <t>Cost scale elasticity — d ln(cost) / d ln(customers)</t>
        </is>
      </c>
      <c r="C181" s="39" t="n">
        <v>1</v>
      </c>
      <c r="D181" s="36" t="n">
        <v>1</v>
      </c>
      <c r="E181" s="36" t="n">
        <v>1</v>
      </c>
      <c r="F181" s="37">
        <f>CHOOSE('Inputs'!$C$4,D181,C181,E181)</f>
        <v/>
      </c>
      <c r="G181" s="14" t="inlineStr">
        <is>
          <t>index</t>
        </is>
      </c>
      <c r="H181" s="5" t="inlineStr">
        <is>
          <t>Every cost line in this model scales linearly with its driver, which forces an elasticity of exactly 1.0 and makes cost per customer flat at every scale. No real business behaves that way. Measured on Allica Bank's published accounts against its lending book: 0.808 across 2022-23, then 0.622 across 2023-24. Applies to the head-office pools, the platform line and change-the-bank — the lines with the least customer-specific content. Default 1.0 reproduces v1.6 exactly.</t>
        </is>
      </c>
    </row>
    <row r="182">
      <c r="B182" s="10" t="inlineStr">
        <is>
          <t>Customer count at which the per-customer rates are calibrated</t>
        </is>
      </c>
      <c r="C182" s="20" t="n">
        <v>3000</v>
      </c>
      <c r="D182" s="21" t="n">
        <v>3000</v>
      </c>
      <c r="E182" s="21" t="n">
        <v>3000</v>
      </c>
      <c r="F182" s="22">
        <f>CHOOSE('Inputs'!$C$4,D182,C182,E182)</f>
        <v/>
      </c>
      <c r="G182" s="14" t="inlineStr">
        <is>
          <t>customers</t>
        </is>
      </c>
      <c r="H182" s="5" t="inlineStr">
        <is>
          <t>The elasticity pivots around this point: at this customer count the elastic form and the linear form are identical by construction. Set it to the book size the per-customer rates were derived from.</t>
        </is>
      </c>
    </row>
    <row r="183">
      <c r="B183" s="7" t="inlineStr">
        <is>
          <t>N. HEAD-OFFICE FIXED COST (scale generalisation, v1.6)</t>
        </is>
      </c>
      <c r="C183" s="8" t="inlineStr"/>
      <c r="D183" s="8" t="inlineStr"/>
      <c r="E183" s="8" t="inlineStr"/>
    </row>
    <row r="184">
      <c r="B184" s="9" t="inlineStr">
        <is>
          <t>Item</t>
        </is>
      </c>
      <c r="C184" s="9" t="inlineStr">
        <is>
          <t>Central</t>
        </is>
      </c>
      <c r="D184" s="9" t="inlineStr">
        <is>
          <t>Pessimistic</t>
        </is>
      </c>
      <c r="E184" s="9" t="inlineStr">
        <is>
          <t>Optimistic</t>
        </is>
      </c>
      <c r="F184" s="9" t="inlineStr">
        <is>
          <t>ACTIVE</t>
        </is>
      </c>
      <c r="G184" s="9" t="inlineStr">
        <is>
          <t>Unit</t>
        </is>
      </c>
      <c r="H184" s="40" t="inlineStr"/>
    </row>
    <row r="185">
      <c r="B185" s="10" t="inlineStr">
        <is>
          <t>Technology &amp; central operations — fixed component</t>
        </is>
      </c>
      <c r="C185" s="27" t="n">
        <v>0</v>
      </c>
      <c r="D185" s="28" t="n">
        <v>0</v>
      </c>
      <c r="E185" s="28" t="n">
        <v>0</v>
      </c>
      <c r="F185" s="26">
        <f>CHOOSE('Inputs'!$C$4,D185,C185,E185)</f>
        <v/>
      </c>
      <c r="G185" s="14" t="inlineStr">
        <is>
          <t>£/yr</t>
        </is>
      </c>
      <c r="H185" s="5" t="inlineStr">
        <is>
          <t>Head-office cost is otherwise modelled purely per customer, which is a scale assumption in disguise: it only holds near the modelled book size. The Allica FY2023 backtest (tab 11) showed the model under-predicting a sub-scale bank's cost base by 7x for exactly this reason. Set the fixed component to model any bank away from at-scale. Default 0 reproduces the pure per-customer behaviour of v1.5.</t>
        </is>
      </c>
    </row>
    <row r="186">
      <c r="B186" s="10" t="inlineStr">
        <is>
          <t>Risk, compliance &amp; audit — fixed component</t>
        </is>
      </c>
      <c r="C186" s="27" t="n">
        <v>0</v>
      </c>
      <c r="D186" s="28" t="n">
        <v>0</v>
      </c>
      <c r="E186" s="28" t="n">
        <v>0</v>
      </c>
      <c r="F186" s="26">
        <f>CHOOSE('Inputs'!$C$4,D186,C186,E186)</f>
        <v/>
      </c>
      <c r="G186" s="14" t="inlineStr">
        <is>
          <t>£/yr</t>
        </is>
      </c>
      <c r="H186" s="5" t="inlineStr">
        <is>
          <t>As above. Regulatory and compliance cost has a large irreducible floor that does not scale down with customers.</t>
        </is>
      </c>
    </row>
    <row r="187">
      <c r="B187" s="10" t="inlineStr">
        <is>
          <t>Corporate centre — fixed component</t>
        </is>
      </c>
      <c r="C187" s="27" t="n">
        <v>0</v>
      </c>
      <c r="D187" s="28" t="n">
        <v>0</v>
      </c>
      <c r="E187" s="28" t="n">
        <v>0</v>
      </c>
      <c r="F187" s="26">
        <f>CHOOSE('Inputs'!$C$4,D187,C187,E187)</f>
        <v/>
      </c>
      <c r="G187" s="14" t="inlineStr">
        <is>
          <t>£/yr</t>
        </is>
      </c>
      <c r="H187" s="5" t="inlineStr">
        <is>
          <t>As above. Platform build, brand and executive cost are the least customer-driven lines in the model.</t>
        </is>
      </c>
    </row>
    <row r="188">
      <c r="B188" s="7" t="inlineStr">
        <is>
          <t>L. CATEGORY ENTRY POINTS (demand layer, v1.3)</t>
        </is>
      </c>
      <c r="C188" s="8" t="inlineStr"/>
      <c r="D188" s="8" t="inlineStr"/>
      <c r="E188" s="8" t="inlineStr"/>
    </row>
    <row r="189">
      <c r="B189" s="9" t="inlineStr">
        <is>
          <t>Item</t>
        </is>
      </c>
      <c r="C189" s="9" t="inlineStr">
        <is>
          <t>Central</t>
        </is>
      </c>
      <c r="D189" s="9" t="inlineStr">
        <is>
          <t>Pessimistic</t>
        </is>
      </c>
      <c r="E189" s="9" t="inlineStr">
        <is>
          <t>Optimistic</t>
        </is>
      </c>
      <c r="F189" s="9" t="inlineStr">
        <is>
          <t>ACTIVE</t>
        </is>
      </c>
      <c r="G189" s="9" t="inlineStr">
        <is>
          <t>Unit</t>
        </is>
      </c>
      <c r="H189" s="9" t="inlineStr">
        <is>
          <t>Source / note</t>
        </is>
      </c>
    </row>
    <row r="190">
      <c r="B190" s="10" t="inlineStr">
        <is>
          <t>CEP layer mode (OFF · CALIBRATE · LIVE)</t>
        </is>
      </c>
      <c r="C190" s="41" t="inlineStr">
        <is>
          <t>OFF</t>
        </is>
      </c>
      <c r="D190" s="14" t="inlineStr">
        <is>
          <t>OFF</t>
        </is>
      </c>
      <c r="E190" s="14" t="inlineStr">
        <is>
          <t>OFF</t>
        </is>
      </c>
      <c r="F190" s="42">
        <f>CHOOSE('Inputs'!$C$4,D190,C190,E190)</f>
        <v/>
      </c>
      <c r="G190" s="14" t="inlineStr">
        <is>
          <t>mode</t>
        </is>
      </c>
      <c r="H190" s="5" t="inlineStr">
        <is>
          <t>The CEP matrix itself is a table, not key/value pairs — it lives on sheet '1b. Demand &amp; CEPs'; edit the blue cells there. OFF = penetrations read the hardcodes below, outputs identical to v1.2. CALIBRATE = diagnostic only, reports the won-event rate implied by today's hardcodes; changes no output. LIVE = penetrations derived from the CEP matrix on 1b, falling back to the hardcode for any product whose CEP rows or holding life are unpopulated.</t>
        </is>
      </c>
    </row>
    <row r="191">
      <c r="B191" s="10" t="inlineStr">
        <is>
          <t>Instant savings — average holding life</t>
        </is>
      </c>
      <c r="C191" s="29" t="n">
        <v>0</v>
      </c>
      <c r="D191" s="30" t="n">
        <v>0</v>
      </c>
      <c r="E191" s="30" t="n">
        <v>0</v>
      </c>
      <c r="F191" s="31">
        <f>CHOOSE('Inputs'!$C$4,D191,C191,E191)</f>
        <v/>
      </c>
      <c r="G191" s="14" t="inlineStr">
        <is>
          <t>years</t>
        </is>
      </c>
      <c r="H191" s="5" t="inlineStr">
        <is>
          <t>REQUIRED FOR LIVE MODE — leave 0 and this product falls back to its hardcoded penetration. Cohort query: mean tenure from account-open to account-close on the savings book.</t>
        </is>
      </c>
    </row>
    <row r="192">
      <c r="B192" s="10" t="inlineStr">
        <is>
          <t>Notice &amp; fixed — average holding life</t>
        </is>
      </c>
      <c r="C192" s="29" t="n">
        <v>0</v>
      </c>
      <c r="D192" s="30" t="n">
        <v>0</v>
      </c>
      <c r="E192" s="30" t="n">
        <v>0</v>
      </c>
      <c r="F192" s="31">
        <f>CHOOSE('Inputs'!$C$4,D192,C192,E192)</f>
        <v/>
      </c>
      <c r="G192" s="14" t="inlineStr">
        <is>
          <t>years</t>
        </is>
      </c>
      <c r="H192" s="5" t="inlineStr">
        <is>
          <t>REQUIRED FOR LIVE MODE. Cohort query: mean tenure including rollovers; a rolled deposit is one holding, not two.</t>
        </is>
      </c>
    </row>
    <row r="193">
      <c r="B193" s="10" t="inlineStr">
        <is>
          <t>Overdraft — average facility life</t>
        </is>
      </c>
      <c r="C193" s="29" t="n">
        <v>0</v>
      </c>
      <c r="D193" s="30" t="n">
        <v>0</v>
      </c>
      <c r="E193" s="30" t="n">
        <v>0</v>
      </c>
      <c r="F193" s="31">
        <f>CHOOSE('Inputs'!$C$4,D193,C193,E193)</f>
        <v/>
      </c>
      <c r="G193" s="14" t="inlineStr">
        <is>
          <t>years</t>
        </is>
      </c>
      <c r="H193" s="5" t="inlineStr">
        <is>
          <t>REQUIRED FOR LIVE MODE. Cohort query: mean time from facility grant to facility closed (not annual renewal).</t>
        </is>
      </c>
    </row>
    <row r="194">
      <c r="B194" s="10" t="inlineStr">
        <is>
          <t>Business credit card — average holding life</t>
        </is>
      </c>
      <c r="C194" s="29" t="n">
        <v>0</v>
      </c>
      <c r="D194" s="30" t="n">
        <v>0</v>
      </c>
      <c r="E194" s="30" t="n">
        <v>0</v>
      </c>
      <c r="F194" s="31">
        <f>CHOOSE('Inputs'!$C$4,D194,C194,E194)</f>
        <v/>
      </c>
      <c r="G194" s="14" t="inlineStr">
        <is>
          <t>years</t>
        </is>
      </c>
      <c r="H194" s="5" t="inlineStr">
        <is>
          <t>REQUIRED FOR LIVE MODE. Cohort query: mean tenure from card issued to account closed.</t>
        </is>
      </c>
    </row>
    <row r="195">
      <c r="B195" s="10" t="inlineStr">
        <is>
          <t>Payments &amp; FX — average active-user life</t>
        </is>
      </c>
      <c r="C195" s="29" t="n">
        <v>0</v>
      </c>
      <c r="D195" s="30" t="n">
        <v>0</v>
      </c>
      <c r="E195" s="30" t="n">
        <v>0</v>
      </c>
      <c r="F195" s="31">
        <f>CHOOSE('Inputs'!$C$4,D195,C195,E195)</f>
        <v/>
      </c>
      <c r="G195" s="14" t="inlineStr">
        <is>
          <t>years</t>
        </is>
      </c>
      <c r="H195" s="5" t="inlineStr">
        <is>
          <t>REQUIRED FOR LIVE MODE. Cohort query: mean time from first international payment to 12 months' inactivity.</t>
        </is>
      </c>
    </row>
    <row r="196">
      <c r="B196" s="7" t="inlineStr">
        <is>
          <t>M. PROCESS LAYER (Step 2 performance, v1.4)</t>
        </is>
      </c>
      <c r="C196" s="8" t="inlineStr"/>
      <c r="D196" s="8" t="inlineStr"/>
      <c r="E196" s="8" t="inlineStr"/>
    </row>
    <row r="197">
      <c r="B197" s="9" t="inlineStr">
        <is>
          <t>Item</t>
        </is>
      </c>
      <c r="C197" s="9" t="inlineStr">
        <is>
          <t>Central</t>
        </is>
      </c>
      <c r="D197" s="9" t="inlineStr">
        <is>
          <t>Pessimistic</t>
        </is>
      </c>
      <c r="E197" s="9" t="inlineStr">
        <is>
          <t>Optimistic</t>
        </is>
      </c>
      <c r="F197" s="9" t="inlineStr">
        <is>
          <t>ACTIVE</t>
        </is>
      </c>
      <c r="G197" s="9" t="inlineStr">
        <is>
          <t>Unit</t>
        </is>
      </c>
      <c r="H197" s="9" t="inlineStr">
        <is>
          <t>Source / note</t>
        </is>
      </c>
    </row>
    <row r="198">
      <c r="B198" s="10" t="inlineStr">
        <is>
          <t>Process layer mode (OFF · DIAGNOSE · LIVE)</t>
        </is>
      </c>
      <c r="C198" s="41" t="inlineStr">
        <is>
          <t>OFF</t>
        </is>
      </c>
      <c r="D198" s="14" t="inlineStr">
        <is>
          <t>OFF</t>
        </is>
      </c>
      <c r="E198" s="14" t="inlineStr">
        <is>
          <t>OFF</t>
        </is>
      </c>
      <c r="F198" s="42">
        <f>CHOOSE('Inputs'!$C$4,D198,C198,E198)</f>
        <v/>
      </c>
      <c r="G198" s="14" t="inlineStr">
        <is>
          <t>mode</t>
        </is>
      </c>
      <c r="H198" s="5" t="inlineStr">
        <is>
          <t>OFF = yield held at 100% and no named head-office processes; outputs identical to v1.3. DIAGNOSE = reports gaps, the top-down imputation and the process-owned share; changes no output. LIVE = yields and named head-office processes in force. Yield below 100% genuinely raises cost — that is the finding, not a defect. The performance columns live on tab 3 (L-S) because Step 2 IS running costs.</t>
        </is>
      </c>
    </row>
    <row r="199">
      <c r="B199" s="10" t="inlineStr">
        <is>
          <t>Top-down benchmark: target cost:income ratio</t>
        </is>
      </c>
      <c r="C199" s="23" t="n">
        <v>0.26</v>
      </c>
      <c r="D199" s="18" t="n">
        <v>0.26</v>
      </c>
      <c r="E199" s="18" t="n">
        <v>0.26</v>
      </c>
      <c r="F199" s="19">
        <f>CHOOSE('Inputs'!$C$4,D199,C199,E199)</f>
        <v/>
      </c>
      <c r="G199" s="14" t="inlineStr">
        <is>
          <t>%</t>
        </is>
      </c>
      <c r="H199" s="5" t="inlineStr">
        <is>
          <t>The only benchmark that actually exists at bank level. Specialist SME banks: OakNorth ~26%, Allica ~50%. Process-level benchmarks are not published, so DIAGNOSE imputes what each process would have to become to reach this. An imputed target is NOT evidence that anyone achieves 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25"/>
  <sheetViews>
    <sheetView workbookViewId="0">
      <pane ySplit="3" topLeftCell="A4" activePane="bottomLeft" state="frozen"/>
      <selection pane="bottomLeft" activeCell="A1" sqref="A1"/>
    </sheetView>
  </sheetViews>
  <sheetFormatPr baseColWidth="8" defaultRowHeight="15"/>
  <cols>
    <col width="2" customWidth="1" min="1" max="1"/>
    <col width="44" customWidth="1" min="2" max="2"/>
    <col width="14" customWidth="1" min="3" max="3"/>
    <col width="16" customWidth="1" min="4" max="4"/>
    <col width="16" customWidth="1" min="5" max="5"/>
    <col width="60" customWidth="1" min="6" max="6"/>
  </cols>
  <sheetData>
    <row r="1">
      <c r="B1" s="1" t="inlineStr">
        <is>
          <t>STEP 1 — BOUNDING THE OPERATING UNIT</t>
        </is>
      </c>
    </row>
    <row r="2" ht="40" customHeight="1">
      <c r="B2" s="5" t="inlineStr">
        <is>
          <t>SME banks organise by CUSTOMER SEGMENT, not geography (Simanis: digital offerings bound the LMU by 'a defined customer segment'). The operational LMUs are segment pods — relationship pods and digital service pods (Org tab, 'Segment pods'). This tab models a 1/300 slice of the national book purely for unit economics; the slice is a modelling construct, not the operating unit.</t>
        </is>
      </c>
    </row>
    <row r="4">
      <c r="B4" s="42" t="inlineStr">
        <is>
          <t>Customers at steady state</t>
        </is>
      </c>
      <c r="C4" s="43">
        <f>'1b. Demand &amp; CEPs'!$G$21</f>
        <v/>
      </c>
      <c r="E4" s="14" t="inlineStr">
        <is>
          <t>CEP layer OFF/CALIBRATE → reachable market × steady-state penetration. LIVE → derived from acquisition CEPs (sheet 1b).</t>
        </is>
      </c>
    </row>
    <row r="5">
      <c r="B5" s="10" t="inlineStr">
        <is>
          <t>…of which relationship-managed</t>
        </is>
      </c>
      <c r="C5" s="44">
        <f>'1. Customers'!$C$4*'Inputs'!$F$24</f>
        <v/>
      </c>
    </row>
    <row r="6">
      <c r="B6" s="10" t="inlineStr">
        <is>
          <t>Customers lost per year before RM defence (gross churn)</t>
        </is>
      </c>
      <c r="C6" s="44">
        <f>'1. Customers'!$C$4*'Inputs'!$F$23</f>
        <v/>
      </c>
    </row>
    <row r="7">
      <c r="B7" s="10" t="inlineStr">
        <is>
          <t>…customers defended by RM retention activity</t>
        </is>
      </c>
      <c r="C7" s="44">
        <f>'1. Customers'!$C$5*'Inputs'!$F$23*'Inputs'!$F$168</f>
        <v/>
      </c>
      <c r="E7" s="14" t="inlineStr">
        <is>
          <t>RM-managed churn × defence effect (validate with holdouts)</t>
        </is>
      </c>
    </row>
    <row r="8">
      <c r="B8" s="42" t="inlineStr">
        <is>
          <t>New customers onboarded per year (net churn replacement)</t>
        </is>
      </c>
      <c r="C8" s="22">
        <f>'1. Customers'!$C$6-'1. Customers'!$C$7</f>
        <v/>
      </c>
      <c r="E8" s="14" t="inlineStr">
        <is>
          <t>Drives onboarding workload and KYC costs</t>
        </is>
      </c>
    </row>
    <row r="10">
      <c r="B10" s="7" t="inlineStr">
        <is>
          <t>PRODUCT VOLUMES &amp; BALANCES</t>
        </is>
      </c>
      <c r="C10" s="8" t="inlineStr"/>
      <c r="D10" s="8" t="inlineStr"/>
      <c r="E10" s="8" t="inlineStr"/>
      <c r="F10" s="8" t="inlineStr"/>
    </row>
    <row r="11">
      <c r="B11" s="45" t="inlineStr">
        <is>
          <t>Product</t>
        </is>
      </c>
      <c r="C11" s="45" t="inlineStr">
        <is>
          <t>Units (accounts / facilities)</t>
        </is>
      </c>
      <c r="D11" s="45" t="inlineStr">
        <is>
          <t>Avg balance per unit (£)</t>
        </is>
      </c>
      <c r="E11" s="45" t="inlineStr">
        <is>
          <t>Total balances (£)</t>
        </is>
      </c>
      <c r="F11" s="45" t="inlineStr">
        <is>
          <t>Note</t>
        </is>
      </c>
      <c r="G11" s="9" t="inlineStr">
        <is>
          <t>RM-held units</t>
        </is>
      </c>
      <c r="H11" s="9" t="inlineStr">
        <is>
          <t>Digitally-held units</t>
        </is>
      </c>
      <c r="I11" s="14" t="inlineStr">
        <is>
          <t>(segment granularity — scenario dimension)</t>
        </is>
      </c>
    </row>
    <row r="12">
      <c r="B12" s="10" t="inlineStr">
        <is>
          <t>Business current accounts</t>
        </is>
      </c>
      <c r="C12" s="44">
        <f>'1. Customers'!$C$4*'Inputs'!$F$30</f>
        <v/>
      </c>
      <c r="D12" s="46">
        <f>'Inputs'!$F$31</f>
        <v/>
      </c>
      <c r="E12" s="46">
        <f>C12*D12</f>
        <v/>
      </c>
      <c r="F12" s="14" t="inlineStr">
        <is>
          <t>Credit balances held by customers</t>
        </is>
      </c>
      <c r="G12" s="44">
        <f>C12*'Inputs'!$F$148</f>
        <v/>
      </c>
      <c r="H12" s="44">
        <f>C12-G12</f>
        <v/>
      </c>
    </row>
    <row r="13">
      <c r="B13" s="10" t="inlineStr">
        <is>
          <t>Instant-access savings</t>
        </is>
      </c>
      <c r="C13" s="44">
        <f>'1. Customers'!$C$4*'1b. Demand &amp; CEPs'!$J$41</f>
        <v/>
      </c>
      <c r="D13" s="46">
        <f>'Inputs'!$F$33</f>
        <v/>
      </c>
      <c r="E13" s="46">
        <f>C13*D13</f>
        <v/>
      </c>
      <c r="F13" s="14" t="inlineStr"/>
      <c r="G13" s="44">
        <f>C13*'Inputs'!$F$149</f>
        <v/>
      </c>
      <c r="H13" s="44">
        <f>C13-G13</f>
        <v/>
      </c>
    </row>
    <row r="14">
      <c r="B14" s="10" t="inlineStr">
        <is>
          <t>Notice &amp; fixed deposits</t>
        </is>
      </c>
      <c r="C14" s="44">
        <f>'1. Customers'!$C$4*'1b. Demand &amp; CEPs'!$J$42</f>
        <v/>
      </c>
      <c r="D14" s="46">
        <f>'Inputs'!$F$35</f>
        <v/>
      </c>
      <c r="E14" s="46">
        <f>C14*D14</f>
        <v/>
      </c>
      <c r="F14" s="14" t="inlineStr"/>
      <c r="G14" s="44">
        <f>C14*'Inputs'!$F$150</f>
        <v/>
      </c>
      <c r="H14" s="44">
        <f>C14-G14</f>
        <v/>
      </c>
    </row>
    <row r="15">
      <c r="B15" s="10" t="inlineStr">
        <is>
          <t>Business overdrafts</t>
        </is>
      </c>
      <c r="C15" s="44">
        <f>'1. Customers'!$C$4*'1b. Demand &amp; CEPs'!$J$43</f>
        <v/>
      </c>
      <c r="D15" s="46">
        <f>'Inputs'!$F$37*'Inputs'!$F$38</f>
        <v/>
      </c>
      <c r="E15" s="46">
        <f>C15*D15</f>
        <v/>
      </c>
      <c r="F15" s="14" t="inlineStr">
        <is>
          <t>Balance = limit × utilisation (drawn)</t>
        </is>
      </c>
      <c r="G15" s="44">
        <f>C15*'Inputs'!$F$151</f>
        <v/>
      </c>
      <c r="H15" s="44">
        <f>C15-G15</f>
        <v/>
      </c>
    </row>
    <row r="16">
      <c r="B16" s="10" t="inlineStr">
        <is>
          <t>Term loans &amp; comm. mortgages</t>
        </is>
      </c>
      <c r="C16" s="44">
        <f>'1. Customers'!$C$4*'1b. Demand &amp; CEPs'!$J$44</f>
        <v/>
      </c>
      <c r="D16" s="46">
        <f>'Inputs'!$F$40</f>
        <v/>
      </c>
      <c r="E16" s="46">
        <f>C16*D16</f>
        <v/>
      </c>
      <c r="F16" s="14" t="inlineStr"/>
      <c r="G16" s="44">
        <f>C16*'Inputs'!$F$152</f>
        <v/>
      </c>
      <c r="H16" s="44">
        <f>C16-G16</f>
        <v/>
      </c>
    </row>
    <row r="17">
      <c r="B17" s="10" t="inlineStr">
        <is>
          <t>Asset finance</t>
        </is>
      </c>
      <c r="C17" s="44">
        <f>'1. Customers'!$C$4*'1b. Demand &amp; CEPs'!$J$45</f>
        <v/>
      </c>
      <c r="D17" s="46">
        <f>'Inputs'!$F$43</f>
        <v/>
      </c>
      <c r="E17" s="46">
        <f>C17*D17</f>
        <v/>
      </c>
      <c r="F17" s="14" t="inlineStr"/>
      <c r="G17" s="44">
        <f>C17*'Inputs'!$F$153</f>
        <v/>
      </c>
      <c r="H17" s="44">
        <f>C17-G17</f>
        <v/>
      </c>
    </row>
    <row r="18">
      <c r="B18" s="10" t="inlineStr">
        <is>
          <t>Invoice finance</t>
        </is>
      </c>
      <c r="C18" s="44">
        <f>'1. Customers'!$C$4*'1b. Demand &amp; CEPs'!$J$46</f>
        <v/>
      </c>
      <c r="D18" s="46">
        <f>'Inputs'!$F$46</f>
        <v/>
      </c>
      <c r="E18" s="46">
        <f>C18*D18</f>
        <v/>
      </c>
      <c r="F18" s="14" t="inlineStr">
        <is>
          <t>Funds in use (advances outstanding)</t>
        </is>
      </c>
      <c r="G18" s="44">
        <f>C18*'Inputs'!$F$154</f>
        <v/>
      </c>
      <c r="H18" s="44">
        <f>C18-G18</f>
        <v/>
      </c>
    </row>
    <row r="19">
      <c r="B19" s="10" t="inlineStr">
        <is>
          <t>Business credit cards</t>
        </is>
      </c>
      <c r="C19" s="44">
        <f>'1. Customers'!$C$4*'1b. Demand &amp; CEPs'!$J$47</f>
        <v/>
      </c>
      <c r="D19" s="46">
        <f>'Inputs'!$F$52*'Inputs'!$F$51</f>
        <v/>
      </c>
      <c r="E19" s="46">
        <f>C19*D19</f>
        <v/>
      </c>
      <c r="F19" s="14" t="inlineStr">
        <is>
          <t>Avg interest-bearing balance per card</t>
        </is>
      </c>
      <c r="G19" s="44">
        <f>C19*'Inputs'!$F$155</f>
        <v/>
      </c>
      <c r="H19" s="44">
        <f>C19-G19</f>
        <v/>
      </c>
    </row>
    <row r="20">
      <c r="B20" s="10" t="inlineStr">
        <is>
          <t>Payments &amp; FX (service users)</t>
        </is>
      </c>
      <c r="C20" s="44">
        <f>'1. Customers'!$C$4*'Inputs'!$F$53</f>
        <v/>
      </c>
      <c r="D20" s="46">
        <f>0</f>
        <v/>
      </c>
      <c r="E20" s="46">
        <f>C20*D20</f>
        <v/>
      </c>
      <c r="F20" s="14" t="inlineStr">
        <is>
          <t>No balance product</t>
        </is>
      </c>
      <c r="G20" s="44">
        <f>C20*'Inputs'!$F$156</f>
        <v/>
      </c>
      <c r="H20" s="44">
        <f>C20-G20</f>
        <v/>
      </c>
    </row>
    <row r="21">
      <c r="B21" s="42" t="inlineStr">
        <is>
          <t>Total customer deposits</t>
        </is>
      </c>
      <c r="C21" s="10" t="inlineStr"/>
      <c r="E21" s="47">
        <f>'1. Customers'!$E$12+'1. Customers'!$E$13+'1. Customers'!$E$14</f>
        <v/>
      </c>
    </row>
    <row r="22">
      <c r="B22" s="42" t="inlineStr">
        <is>
          <t>Total lending balances</t>
        </is>
      </c>
      <c r="E22" s="47">
        <f>'1. Customers'!$E$15+'1. Customers'!$E$16+'1. Customers'!$E$17+'1. Customers'!$E$18+'1. Customers'!$E$19</f>
        <v/>
      </c>
    </row>
    <row r="23">
      <c r="D23" s="48">
        <f>'1. Customers'!$E$22/'1. Customers'!$E$21</f>
        <v/>
      </c>
      <c r="E23" s="14" t="inlineStr">
        <is>
          <t>Loan-to-deposit ratio:</t>
        </is>
      </c>
    </row>
    <row r="24">
      <c r="B24" s="42" t="inlineStr">
        <is>
          <t>Total accounts on ledger (all products excl. FX users)</t>
        </is>
      </c>
      <c r="C24" s="22">
        <f>'1. Customers'!$C$12+'1. Customers'!$C$13+'1. Customers'!$C$14+'1. Customers'!$C$15+'1. Customers'!$C$16+'1. Customers'!$C$17+'1. Customers'!$C$18+'1. Customers'!$C$19</f>
        <v/>
      </c>
      <c r="E24" s="14" t="inlineStr">
        <is>
          <t>Driver for core banking system cost</t>
        </is>
      </c>
    </row>
    <row r="25">
      <c r="B25" s="42" t="inlineStr">
        <is>
          <t>Total live credit facilities</t>
        </is>
      </c>
      <c r="C25" s="22">
        <f>'1. Customers'!$C$15+'1. Customers'!$C$16+'1. Customers'!$C$17+'1. Customers'!$C$18+'1. Customers'!$C$19</f>
        <v/>
      </c>
      <c r="E25" s="14" t="inlineStr">
        <is>
          <t>Driver for credit systems &amp; monitoring cost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64"/>
  <sheetViews>
    <sheetView workbookViewId="0">
      <pane ySplit="3" topLeftCell="A4" activePane="bottomLeft" state="frozen"/>
      <selection pane="bottomLeft" activeCell="A1" sqref="A1"/>
    </sheetView>
  </sheetViews>
  <sheetFormatPr baseColWidth="8" defaultRowHeight="15"/>
  <cols>
    <col width="2" customWidth="1" min="1" max="1"/>
    <col width="10" customWidth="1" min="2" max="2"/>
    <col width="46" customWidth="1" min="3" max="3"/>
    <col width="15" customWidth="1" min="4" max="4"/>
    <col width="12" customWidth="1" min="5" max="5"/>
    <col width="12" customWidth="1" min="6" max="6"/>
    <col width="15" customWidth="1" min="7" max="7"/>
    <col width="10" customWidth="1" min="8" max="8"/>
    <col width="13" customWidth="1" min="9" max="9"/>
    <col width="62" customWidth="1" min="10" max="10"/>
  </cols>
  <sheetData>
    <row r="1">
      <c r="B1" s="1" t="inlineStr">
        <is>
          <t>DEMAND LAYER — CATEGORY ENTRY POINTS</t>
        </is>
      </c>
    </row>
    <row r="2" ht="58" customHeight="1">
      <c r="B2" s="5" t="inlineStr">
        <is>
          <t>One job to be done: 'I keep the business's money working.' A category entry point is a SITUATION in which that job arises — not a segment, not a product feature. At steady state a stock and a rate are the same statement (Little's Law), so this layer needs no time axis: penetration = (lambda*c x L) / (1 + lambda*c x L), where lambda*c = events x presence x conversion won per customer per year and L is the holding life. The saturating form is used because a customer holds at most one of each product at a time; it is bounded at 1, so no scenario can produce a penetration above 100%.</t>
        </is>
      </c>
    </row>
    <row r="3" ht="44" customHeight="1">
      <c r="B3" s="5" t="inlineStr">
        <is>
          <t>SHIPPING POSTURE: the event, presence and conversion columns ship EMPTY on purpose. Each carries the cohort query that fills it. Assumed incidence rates get contradicted by a bank's own data inside one meeting, and that discredits the parts of the model that are right. Any product whose rows are unpopulated falls back to its hardcoded penetration, so the workbook is complete and inert until a bank fills it in.</t>
        </is>
      </c>
    </row>
    <row r="5">
      <c r="B5" s="42" t="inlineStr">
        <is>
          <t>Mode (set on Inputs)</t>
        </is>
      </c>
      <c r="C5" s="49">
        <f>'Inputs'!$F$190</f>
        <v/>
      </c>
    </row>
    <row r="7">
      <c r="B7" s="7" t="inlineStr">
        <is>
          <t>FAMILY A — ACQUISITION CEPs (derive the customer count)</t>
        </is>
      </c>
      <c r="C7" s="8" t="inlineStr"/>
      <c r="D7" s="8" t="inlineStr"/>
      <c r="E7" s="8" t="inlineStr"/>
      <c r="F7" s="8" t="inlineStr"/>
      <c r="G7" s="8" t="inlineStr"/>
      <c r="H7" s="8" t="inlineStr"/>
      <c r="I7" s="8" t="inlineStr"/>
      <c r="J7" s="8" t="inlineStr"/>
    </row>
    <row r="8">
      <c r="B8" s="45" t="inlineStr">
        <is>
          <t>ID</t>
        </is>
      </c>
      <c r="C8" s="45" t="inlineStr">
        <is>
          <t>Category entry point</t>
        </is>
      </c>
      <c r="D8" s="45" t="inlineStr">
        <is>
          <t>Events in catchment /yr</t>
        </is>
      </c>
      <c r="E8" s="45" t="inlineStr">
        <is>
          <t>Presence</t>
        </is>
      </c>
      <c r="F8" s="45" t="inlineStr">
        <is>
          <t>Conversion</t>
        </is>
      </c>
      <c r="G8" s="45" t="inlineStr">
        <is>
          <t>Won events /yr</t>
        </is>
      </c>
      <c r="H8" s="45" t="inlineStr">
        <is>
          <t>Tier</t>
        </is>
      </c>
      <c r="I8" s="45" t="inlineStr">
        <is>
          <t>Cost to be present (£/yr)</t>
        </is>
      </c>
      <c r="J8" s="45" t="inlineStr">
        <is>
          <t>Cohort query that fills this row</t>
        </is>
      </c>
    </row>
    <row r="9" ht="30" customHeight="1">
      <c r="B9" s="42" t="inlineStr">
        <is>
          <t>A1</t>
        </is>
      </c>
      <c r="C9" s="4" t="inlineStr">
        <is>
          <t>The business is formed or starts trading</t>
        </is>
      </c>
      <c r="D9" s="20" t="n"/>
      <c r="E9" s="17" t="n"/>
      <c r="F9" s="17" t="n"/>
      <c r="G9" s="44">
        <f>IFERROR(D9*E9*F9,0)</f>
        <v/>
      </c>
      <c r="H9" s="50" t="inlineStr">
        <is>
          <t>T2</t>
        </is>
      </c>
      <c r="I9" s="27" t="n"/>
      <c r="J9" s="5" t="inlineStr">
        <is>
          <t>[mental availability] Companies House incorporations in catchment postcodes /yr. Presence = prompted consideration at formation (brand tracker). Evidence held: &gt;50% of start-ups default to the founder's personal-account bank (CMA 2016).</t>
        </is>
      </c>
    </row>
    <row r="10" ht="30" customHeight="1">
      <c r="B10" s="42" t="inlineStr">
        <is>
          <t>A2</t>
        </is>
      </c>
      <c r="C10" s="4" t="inlineStr">
        <is>
          <t>A service failure, fee shock or declined request breaks trust</t>
        </is>
      </c>
      <c r="D10" s="20" t="n"/>
      <c r="E10" s="17" t="n"/>
      <c r="F10" s="17" t="n"/>
      <c r="G10" s="44">
        <f>IFERROR(D10*E10*F10,0)</f>
        <v/>
      </c>
      <c r="H10" s="50" t="inlineStr">
        <is>
          <t>T2</t>
        </is>
      </c>
      <c r="I10" s="27" t="n"/>
      <c r="J10" s="5" t="inlineStr">
        <is>
          <t>[detection / rivals' availability] Complaints + fee-shock events + declines on own book /yr; for inbound, CASS switch-ins by stated reason. Evidence held: switching after formation runs 0.5-4%/yr.</t>
        </is>
      </c>
    </row>
    <row r="11" ht="30" customHeight="1">
      <c r="B11" s="42" t="inlineStr">
        <is>
          <t>A3</t>
        </is>
      </c>
      <c r="C11" s="4" t="inlineStr">
        <is>
          <t>A credit need arises the incumbent will not meet</t>
        </is>
      </c>
      <c r="D11" s="20" t="n"/>
      <c r="E11" s="17" t="n"/>
      <c r="F11" s="17" t="n"/>
      <c r="G11" s="44">
        <f>IFERROR(D11*E11*F11,0)</f>
        <v/>
      </c>
      <c r="H11" s="50" t="inlineStr">
        <is>
          <t>T4</t>
        </is>
      </c>
      <c r="I11" s="27" t="n"/>
      <c r="J11" s="5" t="inlineStr">
        <is>
          <t>[mental availability + broker] Broker-introduced applications /yr + declined-elsewhere flag on inbound applications.</t>
        </is>
      </c>
    </row>
    <row r="12" ht="30" customHeight="1">
      <c r="B12" s="42" t="inlineStr">
        <is>
          <t>A4</t>
        </is>
      </c>
      <c r="C12" s="4" t="inlineStr">
        <is>
          <t>Ownership or structure changes (incorporation, sale, merger)</t>
        </is>
      </c>
      <c r="D12" s="20" t="n"/>
      <c r="E12" s="17" t="n"/>
      <c r="F12" s="17" t="n"/>
      <c r="G12" s="44">
        <f>IFERROR(D12*E12*F12,0)</f>
        <v/>
      </c>
      <c r="H12" s="50" t="inlineStr">
        <is>
          <t>T4</t>
        </is>
      </c>
      <c r="I12" s="27" t="n"/>
      <c r="J12" s="5" t="inlineStr">
        <is>
          <t>[mental availability] Companies House filings for share transfers and re-registrations in catchment /yr.</t>
        </is>
      </c>
    </row>
    <row r="13" ht="30" customHeight="1">
      <c r="B13" s="42" t="inlineStr">
        <is>
          <t>A5</t>
        </is>
      </c>
      <c r="C13" s="4" t="inlineStr">
        <is>
          <t>An inducement is offered</t>
        </is>
      </c>
      <c r="D13" s="20" t="n"/>
      <c r="E13" s="17" t="n"/>
      <c r="F13" s="17" t="n"/>
      <c r="G13" s="44">
        <f>IFERROR(D13*E13*F13,0)</f>
        <v/>
      </c>
      <c r="H13" s="50" t="inlineStr">
        <is>
          <t>T2</t>
        </is>
      </c>
      <c r="I13" s="27" t="n"/>
      <c r="J13" s="5" t="inlineStr">
        <is>
          <t>[paid] Switch-offer redemptions /yr. Evidence held: BCR ISS moved 69,135 SMEs, GBP251.54m, &gt;50% of all CASS SME switches in 28 months. Post-dowry retention was never published — loyalty purchase is unproven in both directions.</t>
        </is>
      </c>
    </row>
    <row r="14">
      <c r="C14" s="42" t="inlineStr">
        <is>
          <t>Won acquisition events /yr</t>
        </is>
      </c>
      <c r="G14" s="43">
        <f>SUM(G9:G13)</f>
        <v/>
      </c>
      <c r="I14" s="47">
        <f>SUM(I9:I13)</f>
        <v/>
      </c>
    </row>
    <row r="15">
      <c r="C15" s="10" t="inlineStr">
        <is>
          <t>Relationship life (= 1 / churn)</t>
        </is>
      </c>
      <c r="G15" s="51">
        <f>1/'Inputs'!$F$23</f>
        <v/>
      </c>
    </row>
    <row r="16">
      <c r="C16" s="42" t="inlineStr">
        <is>
          <t>Derived customers (won events x relationship life)</t>
        </is>
      </c>
      <c r="G16" s="22">
        <f>'1b. Demand &amp; CEPs'!$G$14*'1b. Demand &amp; CEPs'!$G$15</f>
        <v/>
      </c>
    </row>
    <row r="17">
      <c r="C17" s="10" t="inlineStr">
        <is>
          <t>Hardcoded customers (R x P)</t>
        </is>
      </c>
      <c r="G17" s="44">
        <f>'Inputs'!$F$21*'Inputs'!$F$22</f>
        <v/>
      </c>
    </row>
    <row r="18">
      <c r="C18" s="10" t="inlineStr">
        <is>
          <t>CALIBRATE — won events/yr implied by today's R x P</t>
        </is>
      </c>
      <c r="G18" s="44">
        <f>'1b. Demand &amp; CEPs'!$G$17/'1b. Demand &amp; CEPs'!$G$15</f>
        <v/>
      </c>
      <c r="J18" s="5" t="inlineStr">
        <is>
          <t>This is the number the five CEPs above must sum to. It equals the onboarding volume the model already computes on tab 1, so Little's Law closes on the acquisition side.</t>
        </is>
      </c>
    </row>
    <row r="19">
      <c r="C19" s="10" t="inlineStr">
        <is>
          <t>MEMO — acquisition cost per won event</t>
        </is>
      </c>
      <c r="G19" s="46">
        <f>IFERROR('1b. Demand &amp; CEPs'!$I$14/'1b. Demand &amp; CEPs'!$G$14,0)</f>
        <v/>
      </c>
      <c r="J19" s="5" t="inlineStr">
        <is>
          <t>Memo only in v1.3 — not posted to the P&amp;L, so toggle OFF stays byte-identical. The current account, cards, savings and FX carry no acquisition cost anywhere in the model; this is the first place it is quantified.</t>
        </is>
      </c>
    </row>
    <row r="21">
      <c r="C21" s="42" t="inlineStr">
        <is>
          <t>Customers in force</t>
        </is>
      </c>
      <c r="G21" s="43">
        <f>IF('1b. Demand &amp; CEPs'!$C$5&lt;&gt;"LIVE",'1b. Demand &amp; CEPs'!$G$17,IF('1b. Demand &amp; CEPs'!$G$14=0,'1b. Demand &amp; CEPs'!$G$17,'1b. Demand &amp; CEPs'!$G$16))</f>
        <v/>
      </c>
    </row>
    <row r="23">
      <c r="B23" s="7" t="inlineStr">
        <is>
          <t>FAMILY B — CROSS-HOLDING CEPs (derive the eight product penetrations)</t>
        </is>
      </c>
      <c r="C23" s="8" t="inlineStr"/>
      <c r="D23" s="8" t="inlineStr"/>
      <c r="E23" s="8" t="inlineStr"/>
      <c r="F23" s="8" t="inlineStr"/>
      <c r="G23" s="8" t="inlineStr"/>
      <c r="H23" s="8" t="inlineStr"/>
      <c r="I23" s="8" t="inlineStr"/>
      <c r="J23" s="8" t="inlineStr"/>
    </row>
    <row r="24">
      <c r="C24" s="5" t="inlineStr">
        <is>
          <t>The current account has no row here. It is the relationship itself, so it is derived by Family A and its penetration stays 100% by definition.</t>
        </is>
      </c>
    </row>
    <row r="25">
      <c r="B25" s="45" t="inlineStr">
        <is>
          <t>ID</t>
        </is>
      </c>
      <c r="C25" s="45" t="inlineStr">
        <is>
          <t>Category entry point</t>
        </is>
      </c>
      <c r="D25" s="45" t="inlineStr">
        <is>
          <t>Events /cust/yr</t>
        </is>
      </c>
      <c r="E25" s="45" t="inlineStr">
        <is>
          <t>Presence</t>
        </is>
      </c>
      <c r="F25" s="45" t="inlineStr">
        <is>
          <t>Conversion</t>
        </is>
      </c>
      <c r="G25" s="45" t="inlineStr">
        <is>
          <t>Won /cust/yr</t>
        </is>
      </c>
      <c r="H25" s="45" t="inlineStr">
        <is>
          <t>Tier</t>
        </is>
      </c>
      <c r="I25" s="45" t="inlineStr">
        <is>
          <t>Product</t>
        </is>
      </c>
      <c r="J25" s="45" t="inlineStr">
        <is>
          <t>Cohort query that fills this row</t>
        </is>
      </c>
    </row>
    <row r="26" ht="30" customHeight="1">
      <c r="B26" s="42" t="inlineStr">
        <is>
          <t>B1</t>
        </is>
      </c>
      <c r="C26" s="4" t="inlineStr">
        <is>
          <t>A surplus balance sits idle past a threshold</t>
        </is>
      </c>
      <c r="D26" s="35" t="n"/>
      <c r="E26" s="17" t="n"/>
      <c r="F26" s="17" t="n"/>
      <c r="G26" s="52">
        <f>IFERROR(D26*E26*F26,0)</f>
        <v/>
      </c>
      <c r="H26" s="50" t="inlineStr">
        <is>
          <t>T1</t>
        </is>
      </c>
      <c r="I26" s="53" t="inlineStr">
        <is>
          <t>sav</t>
        </is>
      </c>
      <c r="J26" s="5" t="inlineStr">
        <is>
          <t>[detection + default] Customer-months where the current-account balance exceeds a threshold for 90 days. Evidence held: GBP150bn of SME deposits sit inert; FCA auto-enrolment cut unpaid-item charges 21-24% where the self-registration arm achieved nothing. This is a default, not a campaign.</t>
        </is>
      </c>
    </row>
    <row r="27" ht="30" customHeight="1">
      <c r="B27" s="42" t="inlineStr">
        <is>
          <t>B2</t>
        </is>
      </c>
      <c r="C27" s="4" t="inlineStr">
        <is>
          <t>A known outgoing is dated 3-12 months ahead</t>
        </is>
      </c>
      <c r="D27" s="35" t="n"/>
      <c r="E27" s="17" t="n"/>
      <c r="F27" s="17" t="n"/>
      <c r="G27" s="52">
        <f>IFERROR(D27*E27*F27,0)</f>
        <v/>
      </c>
      <c r="H27" s="50" t="inlineStr">
        <is>
          <t>T4</t>
        </is>
      </c>
      <c r="I27" s="53" t="inlineStr">
        <is>
          <t>dep</t>
        </is>
      </c>
      <c r="J27" s="5" t="inlineStr">
        <is>
          <t>[detection] Scheduled large debits (tax, planned capex) visible on the account 3-12 months out.</t>
        </is>
      </c>
    </row>
    <row r="28" ht="30" customHeight="1">
      <c r="B28" s="42" t="inlineStr">
        <is>
          <t>B3</t>
        </is>
      </c>
      <c r="C28" s="4" t="inlineStr">
        <is>
          <t>A balance approaches zero or a payment nearly fails</t>
        </is>
      </c>
      <c r="D28" s="35" t="n"/>
      <c r="E28" s="17" t="n"/>
      <c r="F28" s="17" t="n"/>
      <c r="G28" s="52">
        <f>IFERROR(D28*E28*F28,0)</f>
        <v/>
      </c>
      <c r="H28" s="50" t="inlineStr">
        <is>
          <t>T1</t>
        </is>
      </c>
      <c r="I28" s="53" t="inlineStr">
        <is>
          <t>od</t>
        </is>
      </c>
      <c r="J28" s="5" t="inlineStr">
        <is>
          <t>[detection + alert] Near-miss events /customer/yr: balance below buffer, or a payment attempted against insufficient funds. Evidence held: FCA OP36/OP40 alerts cut unarranged charges ~25% — the only T1 evidence in UK banking.</t>
        </is>
      </c>
    </row>
    <row r="29" ht="30" customHeight="1">
      <c r="B29" s="42" t="inlineStr">
        <is>
          <t>B4</t>
        </is>
      </c>
      <c r="C29" s="4" t="inlineStr">
        <is>
          <t>A capital purchase or premises decision arises</t>
        </is>
      </c>
      <c r="D29" s="35" t="n"/>
      <c r="E29" s="17" t="n"/>
      <c r="F29" s="17" t="n"/>
      <c r="G29" s="52">
        <f>IFERROR(D29*E29*F29,0)</f>
        <v/>
      </c>
      <c r="H29" s="50" t="inlineStr">
        <is>
          <t>T4</t>
        </is>
      </c>
      <c r="I29" s="53" t="inlineStr">
        <is>
          <t>loan</t>
        </is>
      </c>
      <c r="J29" s="5" t="inlineStr">
        <is>
          <t>[RM (already costed)] Loan applications by stated purpose = expansion or premises, per customer per year.</t>
        </is>
      </c>
    </row>
    <row r="30" ht="30" customHeight="1">
      <c r="B30" s="42" t="inlineStr">
        <is>
          <t>B5</t>
        </is>
      </c>
      <c r="C30" s="4" t="inlineStr">
        <is>
          <t>An existing facility reaches maturity</t>
        </is>
      </c>
      <c r="D30" s="35" t="n"/>
      <c r="E30" s="17" t="n"/>
      <c r="F30" s="17" t="n"/>
      <c r="G30" s="52">
        <f>IFERROR(D30*E30*F30,0)</f>
        <v/>
      </c>
      <c r="H30" s="50" t="inlineStr">
        <is>
          <t>T4</t>
        </is>
      </c>
      <c r="I30" s="53" t="inlineStr">
        <is>
          <t>loan</t>
        </is>
      </c>
      <c r="J30" s="5" t="inlineStr">
        <is>
          <t>[RM (already costed)] Facilities reaching maturity /yr, from the book's own maturity ladder.</t>
        </is>
      </c>
    </row>
    <row r="31" ht="30" customHeight="1">
      <c r="B31" s="42" t="inlineStr">
        <is>
          <t>B6</t>
        </is>
      </c>
      <c r="C31" s="4" t="inlineStr">
        <is>
          <t>Equipment or a vehicle reaches end of life</t>
        </is>
      </c>
      <c r="D31" s="35" t="n"/>
      <c r="E31" s="17" t="n"/>
      <c r="F31" s="17" t="n"/>
      <c r="G31" s="52">
        <f>IFERROR(D31*E31*F31,0)</f>
        <v/>
      </c>
      <c r="H31" s="50" t="inlineStr">
        <is>
          <t>T4</t>
        </is>
      </c>
      <c r="I31" s="53" t="inlineStr">
        <is>
          <t>af</t>
        </is>
      </c>
      <c r="J31" s="5" t="inlineStr">
        <is>
          <t>[RM (already costed)] Asset finance agreements reaching end of term, plus asset-register age where held.</t>
        </is>
      </c>
    </row>
    <row r="32" ht="30" customHeight="1">
      <c r="B32" s="42" t="inlineStr">
        <is>
          <t>B7</t>
        </is>
      </c>
      <c r="C32" s="4" t="inlineStr">
        <is>
          <t>A debtor goes past terms and opens a cash gap</t>
        </is>
      </c>
      <c r="D32" s="35" t="n"/>
      <c r="E32" s="17" t="n"/>
      <c r="F32" s="17" t="n"/>
      <c r="G32" s="52">
        <f>IFERROR(D32*E32*F32,0)</f>
        <v/>
      </c>
      <c r="H32" s="50" t="inlineStr">
        <is>
          <t>T4</t>
        </is>
      </c>
      <c r="I32" s="53" t="inlineStr">
        <is>
          <t>inv</t>
        </is>
      </c>
      <c r="J32" s="5" t="inlineStr">
        <is>
          <t>[RM (already costed)] Customer-months where receivables ageing crosses terms — visible from transaction data on the current account.</t>
        </is>
      </c>
    </row>
    <row r="33" ht="30" customHeight="1">
      <c r="B33" s="42" t="inlineStr">
        <is>
          <t>B8</t>
        </is>
      </c>
      <c r="C33" s="4" t="inlineStr">
        <is>
          <t>An order arrives too large for working capital</t>
        </is>
      </c>
      <c r="D33" s="35" t="n"/>
      <c r="E33" s="17" t="n"/>
      <c r="F33" s="17" t="n"/>
      <c r="G33" s="52">
        <f>IFERROR(D33*E33*F33,0)</f>
        <v/>
      </c>
      <c r="H33" s="50" t="inlineStr">
        <is>
          <t>T4</t>
        </is>
      </c>
      <c r="I33" s="53" t="inlineStr">
        <is>
          <t>inv</t>
        </is>
      </c>
      <c r="J33" s="5" t="inlineStr">
        <is>
          <t>[RM (already costed)] Single credits or invoices above a multiple of the customer's mean monthly turnover.</t>
        </is>
      </c>
    </row>
    <row r="34" ht="30" customHeight="1">
      <c r="B34" s="42" t="inlineStr">
        <is>
          <t>B9</t>
        </is>
      </c>
      <c r="C34" s="4" t="inlineStr">
        <is>
          <t>Recurring supplier spend needs separating from the account</t>
        </is>
      </c>
      <c r="D34" s="35" t="n"/>
      <c r="E34" s="17" t="n"/>
      <c r="F34" s="17" t="n"/>
      <c r="G34" s="52">
        <f>IFERROR(D34*E34*F34,0)</f>
        <v/>
      </c>
      <c r="H34" s="50" t="inlineStr">
        <is>
          <t>T2</t>
        </is>
      </c>
      <c r="I34" s="53" t="inlineStr">
        <is>
          <t>card</t>
        </is>
      </c>
      <c r="J34" s="5" t="inlineStr">
        <is>
          <t>[default at onboarding] Customers with recurring card-type spend running through the current account. Evidence held: defaults beat persuasion — card-as-default-instrument at onboarding.</t>
        </is>
      </c>
    </row>
    <row r="35" ht="30" customHeight="1">
      <c r="B35" s="42" t="inlineStr">
        <is>
          <t>B10</t>
        </is>
      </c>
      <c r="C35" s="4" t="inlineStr">
        <is>
          <t>An employee needs delegated spend</t>
        </is>
      </c>
      <c r="D35" s="35" t="n"/>
      <c r="E35" s="17" t="n"/>
      <c r="F35" s="17" t="n"/>
      <c r="G35" s="52">
        <f>IFERROR(D35*E35*F35,0)</f>
        <v/>
      </c>
      <c r="H35" s="50" t="inlineStr">
        <is>
          <t>T4</t>
        </is>
      </c>
      <c r="I35" s="53" t="inlineStr">
        <is>
          <t>card</t>
        </is>
      </c>
      <c r="J35" s="5" t="inlineStr">
        <is>
          <t>[detection] Payroll headcount growth events, or second-signatory requests.</t>
        </is>
      </c>
    </row>
    <row r="36" ht="30" customHeight="1">
      <c r="B36" s="42" t="inlineStr">
        <is>
          <t>B11</t>
        </is>
      </c>
      <c r="C36" s="4" t="inlineStr">
        <is>
          <t>A first overseas supplier invoice arrives</t>
        </is>
      </c>
      <c r="D36" s="35" t="n"/>
      <c r="E36" s="17" t="n"/>
      <c r="F36" s="17" t="n"/>
      <c r="G36" s="52">
        <f>IFERROR(D36*E36*F36,0)</f>
        <v/>
      </c>
      <c r="H36" s="50" t="inlineStr">
        <is>
          <t>T3</t>
        </is>
      </c>
      <c r="I36" s="53" t="inlineStr">
        <is>
          <t>fx</t>
        </is>
      </c>
      <c r="J36" s="5" t="inlineStr">
        <is>
          <t>[detection] First outbound cross-border payment per customer. Evidence held: 80% of SMEs report confusion at bank FX fees — the thinnest evidence base in the set and the biggest testable prize.</t>
        </is>
      </c>
    </row>
    <row r="37" ht="30" customHeight="1">
      <c r="B37" s="42" t="inlineStr">
        <is>
          <t>B12</t>
        </is>
      </c>
      <c r="C37" s="4" t="inlineStr">
        <is>
          <t>A first overseas customer payment is received</t>
        </is>
      </c>
      <c r="D37" s="35" t="n"/>
      <c r="E37" s="17" t="n"/>
      <c r="F37" s="17" t="n"/>
      <c r="G37" s="52">
        <f>IFERROR(D37*E37*F37,0)</f>
        <v/>
      </c>
      <c r="H37" s="50" t="inlineStr">
        <is>
          <t>T3</t>
        </is>
      </c>
      <c r="I37" s="53" t="inlineStr">
        <is>
          <t>fx</t>
        </is>
      </c>
      <c r="J37" s="5" t="inlineStr">
        <is>
          <t>[detection] First inbound cross-border receipt per customer.</t>
        </is>
      </c>
    </row>
    <row r="39">
      <c r="B39" s="7" t="inlineStr">
        <is>
          <t>PRODUCT DERIVATION</t>
        </is>
      </c>
      <c r="C39" s="8" t="inlineStr"/>
      <c r="D39" s="8" t="inlineStr"/>
      <c r="E39" s="8" t="inlineStr"/>
      <c r="F39" s="8" t="inlineStr"/>
      <c r="G39" s="8" t="inlineStr"/>
      <c r="H39" s="8" t="inlineStr"/>
      <c r="I39" s="8" t="inlineStr"/>
      <c r="J39" s="8" t="inlineStr"/>
    </row>
    <row r="40">
      <c r="B40" s="45" t="inlineStr">
        <is>
          <t>Code</t>
        </is>
      </c>
      <c r="C40" s="45" t="inlineStr">
        <is>
          <t>Product</t>
        </is>
      </c>
      <c r="D40" s="45" t="inlineStr">
        <is>
          <t>lambda*c (won /cust/yr)</t>
        </is>
      </c>
      <c r="E40" s="45" t="inlineStr">
        <is>
          <t>Holding life L</t>
        </is>
      </c>
      <c r="F40" s="45" t="inlineStr">
        <is>
          <t>Derived pen</t>
        </is>
      </c>
      <c r="G40" s="45" t="inlineStr">
        <is>
          <t>Hardcode pen</t>
        </is>
      </c>
      <c r="H40" s="45" t="inlineStr">
        <is>
          <t>CALIBRATE: implied lambda*c</t>
        </is>
      </c>
      <c r="I40" s="45" t="inlineStr">
        <is>
          <t>One won moment per (customer-yrs)</t>
        </is>
      </c>
      <c r="J40" s="45" t="inlineStr">
        <is>
          <t>PENETRATION IN FORCE</t>
        </is>
      </c>
    </row>
    <row r="41">
      <c r="B41" s="54" t="inlineStr">
        <is>
          <t>sav</t>
        </is>
      </c>
      <c r="C41" s="10" t="inlineStr">
        <is>
          <t>Instant-access savings</t>
        </is>
      </c>
      <c r="D41" s="52">
        <f>SUMIF($I$26:$I$37,$B41,$G$26:$G$37)</f>
        <v/>
      </c>
      <c r="E41" s="55">
        <f>'Inputs'!$F$191</f>
        <v/>
      </c>
      <c r="F41" s="48">
        <f>IFERROR(D41*E41/(1+D41*E41),0)</f>
        <v/>
      </c>
      <c r="G41" s="56">
        <f>'Inputs'!$F$32</f>
        <v/>
      </c>
      <c r="H41" s="52">
        <f>IFERROR(G41/((1-G41)*E41),"")</f>
        <v/>
      </c>
      <c r="I41" s="51">
        <f>IFERROR(1/H41,"")</f>
        <v/>
      </c>
      <c r="J41" s="57">
        <f>IF('1b. Demand &amp; CEPs'!$C$5&lt;&gt;"LIVE",G41,IF(OR(D41=0,E41=0),G41,F41))</f>
        <v/>
      </c>
    </row>
    <row r="42">
      <c r="B42" s="54" t="inlineStr">
        <is>
          <t>dep</t>
        </is>
      </c>
      <c r="C42" s="10" t="inlineStr">
        <is>
          <t>Notice &amp; fixed deposits</t>
        </is>
      </c>
      <c r="D42" s="52">
        <f>SUMIF($I$26:$I$37,$B42,$G$26:$G$37)</f>
        <v/>
      </c>
      <c r="E42" s="55">
        <f>'Inputs'!$F$192</f>
        <v/>
      </c>
      <c r="F42" s="48">
        <f>IFERROR(D42*E42/(1+D42*E42),0)</f>
        <v/>
      </c>
      <c r="G42" s="56">
        <f>'Inputs'!$F$34</f>
        <v/>
      </c>
      <c r="H42" s="52">
        <f>IFERROR(G42/((1-G42)*E42),"")</f>
        <v/>
      </c>
      <c r="I42" s="51">
        <f>IFERROR(1/H42,"")</f>
        <v/>
      </c>
      <c r="J42" s="57">
        <f>IF('1b. Demand &amp; CEPs'!$C$5&lt;&gt;"LIVE",G42,IF(OR(D42=0,E42=0),G42,F42))</f>
        <v/>
      </c>
    </row>
    <row r="43">
      <c r="B43" s="54" t="inlineStr">
        <is>
          <t>od</t>
        </is>
      </c>
      <c r="C43" s="10" t="inlineStr">
        <is>
          <t>Business overdrafts</t>
        </is>
      </c>
      <c r="D43" s="52">
        <f>SUMIF($I$26:$I$37,$B43,$G$26:$G$37)</f>
        <v/>
      </c>
      <c r="E43" s="55">
        <f>'Inputs'!$F$193</f>
        <v/>
      </c>
      <c r="F43" s="48">
        <f>IFERROR(D43*E43/(1+D43*E43),0)</f>
        <v/>
      </c>
      <c r="G43" s="56">
        <f>'Inputs'!$F$36</f>
        <v/>
      </c>
      <c r="H43" s="52">
        <f>IFERROR(G43/((1-G43)*E43),"")</f>
        <v/>
      </c>
      <c r="I43" s="51">
        <f>IFERROR(1/H43,"")</f>
        <v/>
      </c>
      <c r="J43" s="57">
        <f>IF('1b. Demand &amp; CEPs'!$C$5&lt;&gt;"LIVE",G43,IF(OR(D43=0,E43=0),G43,F43))</f>
        <v/>
      </c>
    </row>
    <row r="44">
      <c r="B44" s="54" t="inlineStr">
        <is>
          <t>loan</t>
        </is>
      </c>
      <c r="C44" s="10" t="inlineStr">
        <is>
          <t>Term loans &amp; comm. mortgages</t>
        </is>
      </c>
      <c r="D44" s="52">
        <f>SUMIF($I$26:$I$37,$B44,$G$26:$G$37)</f>
        <v/>
      </c>
      <c r="E44" s="55">
        <f>'Inputs'!$F$41</f>
        <v/>
      </c>
      <c r="F44" s="48">
        <f>IFERROR(D44*E44/(1+D44*E44),0)</f>
        <v/>
      </c>
      <c r="G44" s="56">
        <f>'Inputs'!$F$39</f>
        <v/>
      </c>
      <c r="H44" s="52">
        <f>IFERROR(G44/((1-G44)*E44),"")</f>
        <v/>
      </c>
      <c r="I44" s="51">
        <f>IFERROR(1/H44,"")</f>
        <v/>
      </c>
      <c r="J44" s="57">
        <f>IF('1b. Demand &amp; CEPs'!$C$5&lt;&gt;"LIVE",G44,IF(OR(D44=0,E44=0),G44,F44))</f>
        <v/>
      </c>
    </row>
    <row r="45">
      <c r="B45" s="54" t="inlineStr">
        <is>
          <t>af</t>
        </is>
      </c>
      <c r="C45" s="10" t="inlineStr">
        <is>
          <t>Asset finance</t>
        </is>
      </c>
      <c r="D45" s="52">
        <f>SUMIF($I$26:$I$37,$B45,$G$26:$G$37)</f>
        <v/>
      </c>
      <c r="E45" s="55">
        <f>'Inputs'!$F$44</f>
        <v/>
      </c>
      <c r="F45" s="48">
        <f>IFERROR(D45*E45/(1+D45*E45),0)</f>
        <v/>
      </c>
      <c r="G45" s="56">
        <f>'Inputs'!$F$42</f>
        <v/>
      </c>
      <c r="H45" s="52">
        <f>IFERROR(G45/((1-G45)*E45),"")</f>
        <v/>
      </c>
      <c r="I45" s="51">
        <f>IFERROR(1/H45,"")</f>
        <v/>
      </c>
      <c r="J45" s="57">
        <f>IF('1b. Demand &amp; CEPs'!$C$5&lt;&gt;"LIVE",G45,IF(OR(D45=0,E45=0),G45,F45))</f>
        <v/>
      </c>
    </row>
    <row r="46">
      <c r="B46" s="54" t="inlineStr">
        <is>
          <t>inv</t>
        </is>
      </c>
      <c r="C46" s="10" t="inlineStr">
        <is>
          <t>Invoice finance</t>
        </is>
      </c>
      <c r="D46" s="52">
        <f>SUMIF($I$26:$I$37,$B46,$G$26:$G$37)</f>
        <v/>
      </c>
      <c r="E46" s="55">
        <f>'Inputs'!$F$47</f>
        <v/>
      </c>
      <c r="F46" s="48">
        <f>IFERROR(D46*E46/(1+D46*E46),0)</f>
        <v/>
      </c>
      <c r="G46" s="56">
        <f>'Inputs'!$F$45</f>
        <v/>
      </c>
      <c r="H46" s="52">
        <f>IFERROR(G46/((1-G46)*E46),"")</f>
        <v/>
      </c>
      <c r="I46" s="51">
        <f>IFERROR(1/H46,"")</f>
        <v/>
      </c>
      <c r="J46" s="57">
        <f>IF('1b. Demand &amp; CEPs'!$C$5&lt;&gt;"LIVE",G46,IF(OR(D46=0,E46=0),G46,F46))</f>
        <v/>
      </c>
    </row>
    <row r="47">
      <c r="B47" s="54" t="inlineStr">
        <is>
          <t>card</t>
        </is>
      </c>
      <c r="C47" s="10" t="inlineStr">
        <is>
          <t>Business credit cards</t>
        </is>
      </c>
      <c r="D47" s="52">
        <f>SUMIF($I$26:$I$37,$B47,$G$26:$G$37)</f>
        <v/>
      </c>
      <c r="E47" s="55">
        <f>'Inputs'!$F$194</f>
        <v/>
      </c>
      <c r="F47" s="48">
        <f>IFERROR(D47*E47/(1+D47*E47),0)</f>
        <v/>
      </c>
      <c r="G47" s="56">
        <f>'Inputs'!$F$49</f>
        <v/>
      </c>
      <c r="H47" s="52">
        <f>IFERROR(G47/((1-G47)*E47),"")</f>
        <v/>
      </c>
      <c r="I47" s="51">
        <f>IFERROR(1/H47,"")</f>
        <v/>
      </c>
      <c r="J47" s="57">
        <f>IF('1b. Demand &amp; CEPs'!$C$5&lt;&gt;"LIVE",G47,IF(OR(D47=0,E47=0),G47,F47))</f>
        <v/>
      </c>
    </row>
    <row r="48">
      <c r="B48" s="54" t="inlineStr">
        <is>
          <t>fx</t>
        </is>
      </c>
      <c r="C48" s="10" t="inlineStr">
        <is>
          <t>Payments &amp; FX</t>
        </is>
      </c>
      <c r="D48" s="52">
        <f>SUMIF($I$26:$I$37,$B48,$G$26:$G$37)</f>
        <v/>
      </c>
      <c r="E48" s="55">
        <f>'Inputs'!$F$195</f>
        <v/>
      </c>
      <c r="F48" s="48">
        <f>IFERROR(D48*E48/(1+D48*E48),0)</f>
        <v/>
      </c>
      <c r="G48" s="56">
        <f>'Inputs'!$F$53</f>
        <v/>
      </c>
      <c r="H48" s="52">
        <f>IFERROR(G48/((1-G48)*E48),"")</f>
        <v/>
      </c>
      <c r="I48" s="51">
        <f>IFERROR(1/H48,"")</f>
        <v/>
      </c>
      <c r="J48" s="57">
        <f>IF('1b. Demand &amp; CEPs'!$C$5&lt;&gt;"LIVE",G48,IF(OR(D48=0,E48=0),G48,F48))</f>
        <v/>
      </c>
    </row>
    <row r="50">
      <c r="B50" s="7" t="inlineStr">
        <is>
          <t>SELF-CHECKS</t>
        </is>
      </c>
      <c r="C50" s="8" t="inlineStr"/>
      <c r="D50" s="8" t="inlineStr"/>
      <c r="E50" s="8" t="inlineStr"/>
      <c r="F50" s="8" t="inlineStr"/>
      <c r="G50" s="8" t="inlineStr"/>
      <c r="H50" s="8" t="inlineStr"/>
      <c r="I50" s="8" t="inlineStr"/>
      <c r="J50" s="8" t="inlineStr"/>
    </row>
    <row r="51">
      <c r="B51" s="42" t="inlineStr">
        <is>
          <t>1. CALIBRATE reproduces the base</t>
        </is>
      </c>
      <c r="E51" s="10">
        <f>IF('1b. Demand &amp; CEPs'!$C$5&lt;&gt;"CALIBRATE","n/a — mode is not CALIBRATE",IF(SUMPRODUCT(--(ROUND(J41:J48,9)&lt;&gt;ROUND(G41:G48,9)))=0,"PASS — every penetration equals its hardcode","FAIL"))</f>
        <v/>
      </c>
      <c r="J51" s="5" t="inlineStr">
        <is>
          <t>CALIBRATE is diagnostic: it reports the implied event rate and changes no output. The layer must reproduce the model before it may change it.</t>
        </is>
      </c>
    </row>
    <row r="52">
      <c r="B52" s="42" t="inlineStr">
        <is>
          <t>2. Toggle OFF is output-identical to v1.2</t>
        </is>
      </c>
      <c r="E52" s="10">
        <f>IF('1b. Demand &amp; CEPs'!$C$5&lt;&gt;"OFF","n/a — mode is not OFF",IF(AND(SUMPRODUCT(--(J41:J48&lt;&gt;G41:G48))=0,'1b. Demand &amp; CEPs'!$G$21='1b. Demand &amp; CEPs'!$G$17),"PASS — outputs identical to v1.2","FAIL"))</f>
        <v/>
      </c>
      <c r="J52" s="5" t="inlineStr">
        <is>
          <t>The clean base is untouched. This layer sits on top of it.</t>
        </is>
      </c>
    </row>
    <row r="53">
      <c r="B53" s="42" t="inlineStr">
        <is>
          <t>3. Every penetration in force is bounded (0,1]</t>
        </is>
      </c>
      <c r="E53" s="10">
        <f>IF(SUMPRODUCT(--(J41:J48&gt;1))+SUMPRODUCT(--(J41:J48&lt;=0))=0,"PASS","FAIL — a penetration is outside (0,1]")</f>
        <v/>
      </c>
      <c r="J53" s="5" t="inlineStr">
        <is>
          <t>Guaranteed by the saturating form; asserted anyway.</t>
        </is>
      </c>
    </row>
    <row r="54">
      <c r="B54" s="42" t="inlineStr">
        <is>
          <t>4. Little's Law closes on acquisition</t>
        </is>
      </c>
      <c r="E54" s="10">
        <f>IF(ABS('1b. Demand &amp; CEPs'!$G$18*'1b. Demand &amp; CEPs'!$G$15-'1b. Demand &amp; CEPs'!$G$17)&lt;0.001,"PASS — won events x relationship life = customers","FAIL")</f>
        <v/>
      </c>
      <c r="J54" s="5" t="inlineStr">
        <is>
          <t>The identity the whole layer rests on, checked against the model's own numbers.</t>
        </is>
      </c>
    </row>
    <row r="55">
      <c r="B55" s="42" t="inlineStr">
        <is>
          <t>5. Every CEP row carries an evidence tier</t>
        </is>
      </c>
      <c r="E55" s="10">
        <f>IF(COUNTBLANK(H9:H13)+COUNTBLANK(H26:H37)=0,"PASS","FAIL — a CEP row has no evidence tier")</f>
        <v/>
      </c>
      <c r="J55" s="5" t="inlineStr">
        <is>
          <t>A blank tier or a blank cohort query means the row is a guess. The build refuses.</t>
        </is>
      </c>
    </row>
    <row r="56">
      <c r="B56" s="42" t="inlineStr">
        <is>
          <t>6. Products live in LIVE mode</t>
        </is>
      </c>
      <c r="E56" s="10">
        <f>IF('1b. Demand &amp; CEPs'!$C$5&lt;&gt;"LIVE","n/a — mode is not LIVE",COUNTIF(J41:J48,"&lt;&gt;")-SUMPRODUCT(--(J41:J48=G41:G48))&amp;" of 8 products deriving; the rest fall back to hardcodes")</f>
        <v/>
      </c>
      <c r="J56" s="5" t="inlineStr">
        <is>
          <t>Products go live independently as the bank populates each one. Partial population is the expected state, not an error.</t>
        </is>
      </c>
    </row>
    <row r="57">
      <c r="B57" s="42" t="inlineStr">
        <is>
          <t>7. Acquisition cost does not double-count RM effort</t>
        </is>
      </c>
      <c r="E57" s="10">
        <f>IF('1b. Demand &amp; CEPs'!$I$14=0,"n/a — cost to be present not yet populated",IF('1b. Demand &amp; CEPs'!$I$14&lt;'3. HR &amp; Activity'!$H$56,"PASS — below the RM origination cost already in the model","CHECK — exceeds RM origination cost; confirm the four RM-sold products are not being priced twice"))</f>
        <v/>
      </c>
      <c r="J57" s="5" t="inlineStr">
        <is>
          <t>The four RM-sold products already carry an acquisition cost on tab 3 rows 50-57. This layer prices the products that had none.</t>
        </is>
      </c>
    </row>
    <row r="59">
      <c r="B59" s="42" t="inlineStr">
        <is>
          <t>STATED LIMITS</t>
        </is>
      </c>
    </row>
    <row r="60" ht="26" customHeight="1">
      <c r="B60" s="5" t="inlineStr">
        <is>
          <t>• Selection bias: lambda must be the event rate among NON-holders. If holders experience the event more often — and the digital evidence says adopters are selected, not created — the derivation is biased upward. Where a bank can only measure the rate across all customers, say so on the row.</t>
        </is>
      </c>
    </row>
    <row r="61" ht="26" customHeight="1">
      <c r="B61" s="5" t="inlineStr">
        <is>
          <t>• Presence and conversion are not separately identified from stock data alone. CALIBRATE recovers their product, not each one. Splitting them needs an experiment — which is the point: it names the test.</t>
        </is>
      </c>
    </row>
    <row r="62" ht="24" customHeight="1">
      <c r="B62" s="5" t="inlineStr">
        <is>
          <t>• Family A event counts are catchment quantities (Companies House), not bank quantities.</t>
        </is>
      </c>
    </row>
    <row r="63" ht="24" customHeight="1">
      <c r="B63" s="5" t="inlineStr">
        <is>
          <t>• Post-inducement retention (A5) is unevidenced in both directions. BCR wound up without publishing it.</t>
        </is>
      </c>
    </row>
    <row r="64" ht="24" customHeight="1">
      <c r="B64" s="5" t="inlineStr">
        <is>
          <t>• Acquisition cost is a memo in v1.3. Posting it to the P&amp;L is the next version, alongside the process-performance work on the Step 2 tabs.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M19"/>
  <sheetViews>
    <sheetView workbookViewId="0">
      <pane ySplit="3" topLeftCell="A4" activePane="bottomLeft" state="frozen"/>
      <selection pane="bottomLeft" activeCell="A1" sqref="A1"/>
    </sheetView>
  </sheetViews>
  <sheetFormatPr baseColWidth="8" defaultRowHeight="15"/>
  <cols>
    <col width="2" customWidth="1" min="1" max="1"/>
    <col width="34" customWidth="1" min="2" max="2"/>
    <col width="10" customWidth="1" min="3" max="3"/>
    <col width="13" customWidth="1" min="4" max="4"/>
    <col width="10" customWidth="1" min="5" max="5"/>
    <col width="10" customWidth="1" min="6" max="6"/>
    <col width="9" customWidth="1" min="7" max="7"/>
    <col width="12" customWidth="1" min="8" max="8"/>
    <col width="12" customWidth="1" min="9" max="9"/>
    <col width="13" customWidth="1" min="10" max="10"/>
    <col width="14" customWidth="1" min="11" max="11"/>
    <col width="14" customWidth="1" min="12" max="12"/>
  </cols>
  <sheetData>
    <row r="1">
      <c r="B1" s="1" t="inlineStr">
        <is>
          <t>PRODUCT REVENUES — UNIT AND TOTAL</t>
        </is>
      </c>
    </row>
    <row r="2">
      <c r="B2" s="14" t="inlineStr">
        <is>
          <t>Net interest margins measured against internal funds transfer prices (floating = Bank Rate; term = Bank Rate + premium).</t>
        </is>
      </c>
    </row>
    <row r="4">
      <c r="B4" s="45" t="inlineStr">
        <is>
          <t>Product</t>
        </is>
      </c>
      <c r="C4" s="45" t="inlineStr">
        <is>
          <t>Units</t>
        </is>
      </c>
      <c r="D4" s="45" t="inlineStr">
        <is>
          <t>Avg balance /unit</t>
        </is>
      </c>
      <c r="E4" s="45" t="inlineStr">
        <is>
          <t>Customer rate</t>
        </is>
      </c>
      <c r="F4" s="45" t="inlineStr">
        <is>
          <t>FTP rate</t>
        </is>
      </c>
      <c r="G4" s="45" t="inlineStr">
        <is>
          <t>Margin %</t>
        </is>
      </c>
      <c r="H4" s="45" t="inlineStr">
        <is>
          <t>NII per unit</t>
        </is>
      </c>
      <c r="I4" s="45" t="inlineStr">
        <is>
          <t>Fees per unit</t>
        </is>
      </c>
      <c r="J4" s="45" t="inlineStr">
        <is>
          <t>Revenue per unit</t>
        </is>
      </c>
      <c r="K4" s="45" t="inlineStr">
        <is>
          <t>Total NII (£)</t>
        </is>
      </c>
      <c r="L4" s="45" t="inlineStr">
        <is>
          <t>Total fees (£)</t>
        </is>
      </c>
      <c r="M4" s="45" t="inlineStr">
        <is>
          <t>Total revenue (£)</t>
        </is>
      </c>
    </row>
    <row r="5">
      <c r="B5" s="10" t="inlineStr">
        <is>
          <t>Business current accounts</t>
        </is>
      </c>
      <c r="C5" s="58">
        <f>'1. Customers'!$C$12</f>
        <v/>
      </c>
      <c r="D5" s="59">
        <f>'1. Customers'!$D$12</f>
        <v/>
      </c>
      <c r="E5" s="16">
        <f>'Inputs'!$F$58</f>
        <v/>
      </c>
      <c r="F5" s="16">
        <f>'Inputs'!$F$17</f>
        <v/>
      </c>
      <c r="G5" s="16">
        <f>F5-E5</f>
        <v/>
      </c>
      <c r="H5" s="46">
        <f>D5*G5</f>
        <v/>
      </c>
      <c r="I5" s="46">
        <f>12*'Inputs'!$F$59+'Inputs'!$F$60</f>
        <v/>
      </c>
      <c r="J5" s="26">
        <f>H5+I5</f>
        <v/>
      </c>
      <c r="K5" s="46">
        <f>H5*C5</f>
        <v/>
      </c>
      <c r="L5" s="46">
        <f>I5*C5</f>
        <v/>
      </c>
      <c r="M5" s="26">
        <f>J5*C5</f>
        <v/>
      </c>
    </row>
    <row r="6">
      <c r="B6" s="10" t="inlineStr">
        <is>
          <t>Instant-access savings</t>
        </is>
      </c>
      <c r="C6" s="58">
        <f>'1. Customers'!$C$13</f>
        <v/>
      </c>
      <c r="D6" s="59">
        <f>'1. Customers'!$D$13</f>
        <v/>
      </c>
      <c r="E6" s="16">
        <f>'Inputs'!$F$61</f>
        <v/>
      </c>
      <c r="F6" s="16">
        <f>'Inputs'!$F$17</f>
        <v/>
      </c>
      <c r="G6" s="16">
        <f>F6-E6</f>
        <v/>
      </c>
      <c r="H6" s="46">
        <f>D6*G6</f>
        <v/>
      </c>
      <c r="I6" s="46">
        <f>0</f>
        <v/>
      </c>
      <c r="J6" s="26">
        <f>H6+I6</f>
        <v/>
      </c>
      <c r="K6" s="46">
        <f>H6*C6</f>
        <v/>
      </c>
      <c r="L6" s="46">
        <f>I6*C6</f>
        <v/>
      </c>
      <c r="M6" s="26">
        <f>J6*C6</f>
        <v/>
      </c>
    </row>
    <row r="7">
      <c r="B7" s="10" t="inlineStr">
        <is>
          <t>Notice &amp; fixed deposits</t>
        </is>
      </c>
      <c r="C7" s="58">
        <f>'1. Customers'!$C$14</f>
        <v/>
      </c>
      <c r="D7" s="59">
        <f>'1. Customers'!$D$14</f>
        <v/>
      </c>
      <c r="E7" s="16">
        <f>'Inputs'!$F$62</f>
        <v/>
      </c>
      <c r="F7" s="16">
        <f>'Inputs'!$F$18</f>
        <v/>
      </c>
      <c r="G7" s="16">
        <f>F7-E7</f>
        <v/>
      </c>
      <c r="H7" s="46">
        <f>D7*G7</f>
        <v/>
      </c>
      <c r="I7" s="46">
        <f>0</f>
        <v/>
      </c>
      <c r="J7" s="26">
        <f>H7+I7</f>
        <v/>
      </c>
      <c r="K7" s="46">
        <f>H7*C7</f>
        <v/>
      </c>
      <c r="L7" s="46">
        <f>I7*C7</f>
        <v/>
      </c>
      <c r="M7" s="26">
        <f>J7*C7</f>
        <v/>
      </c>
    </row>
    <row r="8">
      <c r="B8" s="10" t="inlineStr">
        <is>
          <t>Business overdrafts</t>
        </is>
      </c>
      <c r="C8" s="58">
        <f>'1. Customers'!$C$15</f>
        <v/>
      </c>
      <c r="D8" s="59">
        <f>'1. Customers'!$D$15</f>
        <v/>
      </c>
      <c r="E8" s="16">
        <f>'Inputs'!$F$63</f>
        <v/>
      </c>
      <c r="F8" s="16">
        <f>'Inputs'!$F$10</f>
        <v/>
      </c>
      <c r="G8" s="16">
        <f>E8-F8</f>
        <v/>
      </c>
      <c r="H8" s="46">
        <f>D8*G8</f>
        <v/>
      </c>
      <c r="I8" s="46">
        <f>'Inputs'!$F$64*'Inputs'!$F$37</f>
        <v/>
      </c>
      <c r="J8" s="26">
        <f>H8+I8</f>
        <v/>
      </c>
      <c r="K8" s="46">
        <f>H8*C8</f>
        <v/>
      </c>
      <c r="L8" s="46">
        <f>I8*C8</f>
        <v/>
      </c>
      <c r="M8" s="26">
        <f>J8*C8</f>
        <v/>
      </c>
    </row>
    <row r="9">
      <c r="B9" s="10" t="inlineStr">
        <is>
          <t>Term loans &amp; comm. mortgages</t>
        </is>
      </c>
      <c r="C9" s="58">
        <f>'1. Customers'!$C$16</f>
        <v/>
      </c>
      <c r="D9" s="59">
        <f>'1. Customers'!$D$16</f>
        <v/>
      </c>
      <c r="E9" s="16">
        <f>'Inputs'!$F$65</f>
        <v/>
      </c>
      <c r="F9" s="16">
        <f>'Inputs'!$F$11</f>
        <v/>
      </c>
      <c r="G9" s="16">
        <f>E9-F9</f>
        <v/>
      </c>
      <c r="H9" s="46">
        <f>D9*G9</f>
        <v/>
      </c>
      <c r="I9" s="46">
        <f>'Inputs'!$F$66*'Inputs'!$F$40/'Inputs'!$F$41</f>
        <v/>
      </c>
      <c r="J9" s="26">
        <f>H9+I9</f>
        <v/>
      </c>
      <c r="K9" s="46">
        <f>H9*C9</f>
        <v/>
      </c>
      <c r="L9" s="46">
        <f>I9*C9</f>
        <v/>
      </c>
      <c r="M9" s="26">
        <f>J9*C9</f>
        <v/>
      </c>
    </row>
    <row r="10">
      <c r="B10" s="10" t="inlineStr">
        <is>
          <t>Asset finance</t>
        </is>
      </c>
      <c r="C10" s="58">
        <f>'1. Customers'!$C$17</f>
        <v/>
      </c>
      <c r="D10" s="59">
        <f>'1. Customers'!$D$17</f>
        <v/>
      </c>
      <c r="E10" s="16">
        <f>'Inputs'!$F$67</f>
        <v/>
      </c>
      <c r="F10" s="16">
        <f>'Inputs'!$F$11</f>
        <v/>
      </c>
      <c r="G10" s="16">
        <f>E10-F10</f>
        <v/>
      </c>
      <c r="H10" s="46">
        <f>D10*G10</f>
        <v/>
      </c>
      <c r="I10" s="46">
        <f>0</f>
        <v/>
      </c>
      <c r="J10" s="26">
        <f>H10+I10</f>
        <v/>
      </c>
      <c r="K10" s="46">
        <f>H10*C10</f>
        <v/>
      </c>
      <c r="L10" s="46">
        <f>I10*C10</f>
        <v/>
      </c>
      <c r="M10" s="26">
        <f>J10*C10</f>
        <v/>
      </c>
    </row>
    <row r="11">
      <c r="B11" s="10" t="inlineStr">
        <is>
          <t>Invoice finance</t>
        </is>
      </c>
      <c r="C11" s="58">
        <f>'1. Customers'!$C$18</f>
        <v/>
      </c>
      <c r="D11" s="59">
        <f>'1. Customers'!$D$18</f>
        <v/>
      </c>
      <c r="E11" s="16">
        <f>'Inputs'!$F$10+'Inputs'!$F$68</f>
        <v/>
      </c>
      <c r="F11" s="16">
        <f>'Inputs'!$F$10</f>
        <v/>
      </c>
      <c r="G11" s="16">
        <f>E11-F11</f>
        <v/>
      </c>
      <c r="H11" s="46">
        <f>D11*G11</f>
        <v/>
      </c>
      <c r="I11" s="46">
        <f>'Inputs'!$F$69*'Inputs'!$F$46*'Inputs'!$F$48</f>
        <v/>
      </c>
      <c r="J11" s="26">
        <f>H11+I11</f>
        <v/>
      </c>
      <c r="K11" s="46">
        <f>H11*C11</f>
        <v/>
      </c>
      <c r="L11" s="46">
        <f>I11*C11</f>
        <v/>
      </c>
      <c r="M11" s="26">
        <f>J11*C11</f>
        <v/>
      </c>
    </row>
    <row r="12">
      <c r="B12" s="10" t="inlineStr">
        <is>
          <t>Business credit cards</t>
        </is>
      </c>
      <c r="C12" s="58">
        <f>'1. Customers'!$C$19</f>
        <v/>
      </c>
      <c r="D12" s="59">
        <f>'1. Customers'!$D$19</f>
        <v/>
      </c>
      <c r="E12" s="16">
        <f>'Inputs'!$F$72</f>
        <v/>
      </c>
      <c r="F12" s="16">
        <f>'Inputs'!$F$10</f>
        <v/>
      </c>
      <c r="G12" s="16">
        <f>E12-F12</f>
        <v/>
      </c>
      <c r="H12" s="46">
        <f>D12*G12</f>
        <v/>
      </c>
      <c r="I12" s="46">
        <f>'Inputs'!$F$70*'Inputs'!$F$50*12+'Inputs'!$F$71</f>
        <v/>
      </c>
      <c r="J12" s="26">
        <f>H12+I12</f>
        <v/>
      </c>
      <c r="K12" s="46">
        <f>H12*C12</f>
        <v/>
      </c>
      <c r="L12" s="46">
        <f>I12*C12</f>
        <v/>
      </c>
      <c r="M12" s="26">
        <f>J12*C12</f>
        <v/>
      </c>
    </row>
    <row r="13">
      <c r="B13" s="10" t="inlineStr">
        <is>
          <t>Payments &amp; FX</t>
        </is>
      </c>
      <c r="C13" s="58">
        <f>'1. Customers'!$C$20</f>
        <v/>
      </c>
      <c r="D13" s="59">
        <f>'1. Customers'!$D$20</f>
        <v/>
      </c>
      <c r="E13" s="16">
        <f>0</f>
        <v/>
      </c>
      <c r="F13" s="16">
        <f>0</f>
        <v/>
      </c>
      <c r="G13" s="16">
        <f>0</f>
        <v/>
      </c>
      <c r="H13" s="46">
        <f>D13*G13</f>
        <v/>
      </c>
      <c r="I13" s="46">
        <f>'Inputs'!$F$54*'Inputs'!$F$73+'Inputs'!$F$55*'Inputs'!$F$74</f>
        <v/>
      </c>
      <c r="J13" s="26">
        <f>H13+I13</f>
        <v/>
      </c>
      <c r="K13" s="46">
        <f>H13*C13</f>
        <v/>
      </c>
      <c r="L13" s="46">
        <f>I13*C13</f>
        <v/>
      </c>
      <c r="M13" s="26">
        <f>J13*C13</f>
        <v/>
      </c>
    </row>
    <row r="14">
      <c r="B14" s="60" t="inlineStr">
        <is>
          <t>TOTAL</t>
        </is>
      </c>
      <c r="K14" s="47">
        <f>SUM(K5:K13)</f>
        <v/>
      </c>
      <c r="L14" s="47">
        <f>SUM(L5:L13)</f>
        <v/>
      </c>
      <c r="M14" s="47">
        <f>SUM(M5:M13)</f>
        <v/>
      </c>
    </row>
    <row r="16">
      <c r="B16" s="5" t="inlineStr">
        <is>
          <t>Deposit products earn the spread between the transfer price and the rate paid; lending earns customer rate minus transfer price. Invoice finance service fees are charged on funded invoice value (≈8× funds in use).</t>
        </is>
      </c>
    </row>
    <row r="18">
      <c r="B18" s="14" t="inlineStr">
        <is>
          <t>Memo — liquidity charge, already inside the deposit NII above (deposits × buffer × drag):</t>
        </is>
      </c>
      <c r="C18" s="46">
        <f>-'1. Customers'!$E$21*'Inputs'!$F$14*'Inputs'!$F$15</f>
        <v/>
      </c>
    </row>
    <row r="19">
      <c r="B19" s="14" t="inlineStr">
        <is>
          <t>Memo — behavioural deposit credit, already inside the deposit NII above (stable balances × credit):</t>
        </is>
      </c>
      <c r="C19" s="46">
        <f>('1. Customers'!$E$12+'1. Customers'!$E$13)*'Inputs'!$F$16</f>
        <v/>
      </c>
    </row>
  </sheetData>
  <mergeCells count="1">
    <mergeCell ref="B16:M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T101"/>
  <sheetViews>
    <sheetView workbookViewId="0">
      <pane ySplit="3" topLeftCell="A4" activePane="bottomLeft" state="frozen"/>
      <selection pane="bottomLeft" activeCell="A1" sqref="A1"/>
    </sheetView>
  </sheetViews>
  <sheetFormatPr baseColWidth="8" defaultRowHeight="15"/>
  <cols>
    <col width="2" customWidth="1" min="1" max="1"/>
    <col width="46" customWidth="1" min="2" max="2"/>
    <col width="10" customWidth="1" min="3" max="3"/>
    <col width="22" customWidth="1" min="4" max="4"/>
    <col width="13" customWidth="1" min="5" max="5"/>
    <col width="12" customWidth="1" min="6" max="6"/>
    <col width="12" customWidth="1" min="7" max="7"/>
    <col width="14" customWidth="1" min="8" max="8"/>
    <col width="13" customWidth="1" min="13" max="13"/>
    <col width="9" customWidth="1" min="14" max="14"/>
    <col width="11" customWidth="1" min="15" max="15"/>
    <col width="11" customWidth="1" min="16" max="16"/>
    <col width="11" customWidth="1" min="17" max="17"/>
    <col width="9" customWidth="1" min="18" max="18"/>
    <col width="46" customWidth="1" min="19" max="19"/>
    <col width="15" customWidth="1" min="20" max="20"/>
  </cols>
  <sheetData>
    <row r="1">
      <c r="B1" s="1" t="inlineStr">
        <is>
          <t>STEP 2 — RUNNING COSTS: PEOPLE FROM ACTIVITY DRIVERS</t>
        </is>
      </c>
    </row>
    <row r="2">
      <c r="B2" s="14" t="inlineStr">
        <is>
          <t>Every FTE is derived from transaction intensity (I) and customer load (L) — no headcount is assumed directly.</t>
        </is>
      </c>
    </row>
    <row r="4">
      <c r="B4" s="10" t="inlineStr">
        <is>
          <t>Available hours per FTE per year</t>
        </is>
      </c>
      <c r="C4" s="44">
        <f>'Inputs'!$F$98*12</f>
        <v/>
      </c>
      <c r="E4" s="14" t="inlineStr">
        <is>
          <t>147 hrs/month × 12</t>
        </is>
      </c>
    </row>
    <row r="5">
      <c r="B5" s="10" t="inlineStr">
        <is>
          <t>Loaded hourly rate — relationship manager</t>
        </is>
      </c>
      <c r="C5" s="61">
        <f>'Inputs'!$F$99*(1+'Inputs'!$F$103)/'3. HR &amp; Activity'!$C$4</f>
        <v/>
      </c>
    </row>
    <row r="6">
      <c r="B6" s="10" t="inlineStr">
        <is>
          <t>Loaded hourly rate — credit analyst</t>
        </is>
      </c>
      <c r="C6" s="61">
        <f>'Inputs'!$F$100*(1+'Inputs'!$F$103)/'3. HR &amp; Activity'!$C$4</f>
        <v/>
      </c>
    </row>
    <row r="7">
      <c r="B7" s="10" t="inlineStr">
        <is>
          <t>Loaded hourly rate — service &amp; operations</t>
        </is>
      </c>
      <c r="C7" s="61">
        <f>'Inputs'!$F$101*(1+'Inputs'!$F$103)/'3. HR &amp; Activity'!$C$4</f>
        <v/>
      </c>
    </row>
    <row r="9">
      <c r="B9" s="7" t="inlineStr">
        <is>
          <t>ACTIVITY DRIVER TABLE (transaction intensity, I)</t>
        </is>
      </c>
      <c r="C9" s="8" t="inlineStr"/>
      <c r="D9" s="8" t="inlineStr"/>
      <c r="E9" s="8" t="inlineStr"/>
      <c r="F9" s="8" t="inlineStr"/>
      <c r="G9" s="8" t="inlineStr"/>
      <c r="H9" s="8" t="inlineStr"/>
    </row>
    <row r="10">
      <c r="B10" s="45" t="inlineStr">
        <is>
          <t>Activity</t>
        </is>
      </c>
      <c r="C10" s="45" t="inlineStr">
        <is>
          <t>Product</t>
        </is>
      </c>
      <c r="D10" s="45" t="inlineStr">
        <is>
          <t>Role</t>
        </is>
      </c>
      <c r="E10" s="45" t="inlineStr">
        <is>
          <t>Driver volume /yr</t>
        </is>
      </c>
      <c r="F10" s="45" t="inlineStr">
        <is>
          <t>Hours per</t>
        </is>
      </c>
      <c r="G10" s="45" t="inlineStr">
        <is>
          <t>Total hours /yr</t>
        </is>
      </c>
      <c r="H10" s="45" t="inlineStr">
        <is>
          <t>Cost (£/yr)</t>
        </is>
      </c>
      <c r="I10" s="9" t="inlineStr">
        <is>
          <t>Flow (tab 9)</t>
        </is>
      </c>
      <c r="J10" s="9" t="inlineStr">
        <is>
          <t>Cost low (£/yr)</t>
        </is>
      </c>
      <c r="K10" s="9" t="inlineStr">
        <is>
          <t>Cost high (£/yr)</t>
        </is>
      </c>
      <c r="L10" s="9" t="inlineStr">
        <is>
          <t>Channel (scenario dimension)</t>
        </is>
      </c>
      <c r="M10" s="45" t="inlineStr">
        <is>
          <t>Process type</t>
        </is>
      </c>
      <c r="N10" s="45" t="inlineStr">
        <is>
          <t>Yield</t>
        </is>
      </c>
      <c r="O10" s="45" t="inlineStr">
        <is>
          <t>Attempts /yr</t>
        </is>
      </c>
      <c r="P10" s="45" t="inlineStr">
        <is>
          <t>Automation rate</t>
        </is>
      </c>
      <c r="Q10" s="45" t="inlineStr">
        <is>
          <t>BiC hours per</t>
        </is>
      </c>
      <c r="R10" s="45" t="inlineStr">
        <is>
          <t>BiC yield</t>
        </is>
      </c>
      <c r="S10" s="45" t="inlineStr">
        <is>
          <t>Benchmark source + tier</t>
        </is>
      </c>
      <c r="T10" s="45" t="inlineStr">
        <is>
          <t>£ gap to best in class</t>
        </is>
      </c>
    </row>
    <row r="11">
      <c r="B11" s="10" t="inlineStr">
        <is>
          <t>Customer onboarding (KYC/AML, account setup)</t>
        </is>
      </c>
      <c r="C11" s="62" t="inlineStr">
        <is>
          <t>bca</t>
        </is>
      </c>
      <c r="D11" s="10" t="inlineStr">
        <is>
          <t>Service &amp; ops</t>
        </is>
      </c>
      <c r="E11" s="44">
        <f>'1. Customers'!$C$8</f>
        <v/>
      </c>
      <c r="F11" s="63">
        <f>'Inputs'!$F$105</f>
        <v/>
      </c>
      <c r="G11" s="44">
        <f>O11*F11</f>
        <v/>
      </c>
      <c r="H11" s="46">
        <f>G11*'3. HR &amp; Activity'!$C$7</f>
        <v/>
      </c>
      <c r="I11" s="62" t="inlineStr">
        <is>
          <t>CA-WP</t>
        </is>
      </c>
      <c r="J11" s="46">
        <f>H11*'Inputs'!$F$118</f>
        <v/>
      </c>
      <c r="K11" s="46">
        <f>H11*'Inputs'!$F$119</f>
        <v/>
      </c>
      <c r="L11" s="62" t="inlineStr">
        <is>
          <t>digital-amenable</t>
        </is>
      </c>
      <c r="M11" s="62" t="inlineStr">
        <is>
          <t>TRANSACTIONAL</t>
        </is>
      </c>
      <c r="N11" s="17" t="n">
        <v>1</v>
      </c>
      <c r="O11" s="44">
        <f>IF('Inputs'!$F$198&lt;&gt;"LIVE",E11,IF(M11&lt;&gt;"TRANSACTIONAL",E11,IF(OR(N11="",N11&lt;=0),E11,E11/N11)))</f>
        <v/>
      </c>
      <c r="P11" s="17" t="n"/>
      <c r="Q11" s="35" t="n"/>
      <c r="R11" s="17" t="n"/>
      <c r="S11" s="64" t="n"/>
      <c r="T11" s="46">
        <f>IFERROR(IF(Q11="",0,O11*(F11-Q11)*'3. HR &amp; Activity'!$C$7),0)+IFERROR(IF(OR(R11="",N11="",R11&lt;=0,N11&lt;=0),0,E11*(1/N11-1/R11)*F11*'3. HR &amp; Activity'!$C$7),0)</f>
        <v/>
      </c>
    </row>
    <row r="12">
      <c r="B12" s="10" t="inlineStr">
        <is>
          <t>Current account servicing</t>
        </is>
      </c>
      <c r="C12" s="62" t="inlineStr">
        <is>
          <t>bca</t>
        </is>
      </c>
      <c r="D12" s="10" t="inlineStr">
        <is>
          <t>Service &amp; ops</t>
        </is>
      </c>
      <c r="E12" s="44">
        <f>'1. Customers'!$C$12</f>
        <v/>
      </c>
      <c r="F12" s="63">
        <f>'Inputs'!$F$106</f>
        <v/>
      </c>
      <c r="G12" s="44">
        <f>O12*F12</f>
        <v/>
      </c>
      <c r="H12" s="46">
        <f>G12*'3. HR &amp; Activity'!$C$7</f>
        <v/>
      </c>
      <c r="I12" s="62" t="inlineStr">
        <is>
          <t>CA-WP</t>
        </is>
      </c>
      <c r="J12" s="46">
        <f>H12*'Inputs'!$F$118</f>
        <v/>
      </c>
      <c r="K12" s="46">
        <f>H12*'Inputs'!$F$119</f>
        <v/>
      </c>
      <c r="L12" s="62" t="inlineStr">
        <is>
          <t>digital-amenable</t>
        </is>
      </c>
      <c r="M12" s="62" t="inlineStr">
        <is>
          <t>CONTINUOUS</t>
        </is>
      </c>
      <c r="O12" s="44">
        <f>IF('Inputs'!$F$198&lt;&gt;"LIVE",E12,IF(M12&lt;&gt;"TRANSACTIONAL",E12,IF(OR(N12="",N12&lt;=0),E12,E12/N12)))</f>
        <v/>
      </c>
      <c r="P12" s="17" t="n"/>
      <c r="Q12" s="35" t="n"/>
      <c r="S12" s="64" t="n"/>
      <c r="T12" s="46">
        <f>IFERROR(IF(Q12="",0,O12*(F12-Q12)*'3. HR &amp; Activity'!$C$7),0)+IFERROR(IF(OR(R12="",N12="",R12&lt;=0,N12&lt;=0),0,E12*(1/N12-1/R12)*F12*'3. HR &amp; Activity'!$C$7),0)</f>
        <v/>
      </c>
    </row>
    <row r="13">
      <c r="B13" s="10" t="inlineStr">
        <is>
          <t>Savings servicing</t>
        </is>
      </c>
      <c r="C13" s="62" t="inlineStr">
        <is>
          <t>sav</t>
        </is>
      </c>
      <c r="D13" s="10" t="inlineStr">
        <is>
          <t>Service &amp; ops</t>
        </is>
      </c>
      <c r="E13" s="44">
        <f>'1. Customers'!$C$13</f>
        <v/>
      </c>
      <c r="F13" s="63">
        <f>'Inputs'!$F$107</f>
        <v/>
      </c>
      <c r="G13" s="44">
        <f>O13*F13</f>
        <v/>
      </c>
      <c r="H13" s="46">
        <f>G13*'3. HR &amp; Activity'!$C$7</f>
        <v/>
      </c>
      <c r="I13" s="62" t="inlineStr">
        <is>
          <t>SV-WP</t>
        </is>
      </c>
      <c r="J13" s="46">
        <f>H13*'Inputs'!$F$118</f>
        <v/>
      </c>
      <c r="K13" s="46">
        <f>H13*'Inputs'!$F$119</f>
        <v/>
      </c>
      <c r="L13" s="62" t="inlineStr">
        <is>
          <t>digital-amenable</t>
        </is>
      </c>
      <c r="M13" s="62" t="inlineStr">
        <is>
          <t>CONTINUOUS</t>
        </is>
      </c>
      <c r="O13" s="44">
        <f>IF('Inputs'!$F$198&lt;&gt;"LIVE",E13,IF(M13&lt;&gt;"TRANSACTIONAL",E13,IF(OR(N13="",N13&lt;=0),E13,E13/N13)))</f>
        <v/>
      </c>
      <c r="P13" s="17" t="n"/>
      <c r="Q13" s="35" t="n"/>
      <c r="S13" s="64" t="n"/>
      <c r="T13" s="46">
        <f>IFERROR(IF(Q13="",0,O13*(F13-Q13)*'3. HR &amp; Activity'!$C$7),0)+IFERROR(IF(OR(R13="",N13="",R13&lt;=0,N13&lt;=0),0,E13*(1/N13-1/R13)*F13*'3. HR &amp; Activity'!$C$7),0)</f>
        <v/>
      </c>
    </row>
    <row r="14">
      <c r="B14" s="10" t="inlineStr">
        <is>
          <t>Deposit servicing</t>
        </is>
      </c>
      <c r="C14" s="62" t="inlineStr">
        <is>
          <t>dep</t>
        </is>
      </c>
      <c r="D14" s="10" t="inlineStr">
        <is>
          <t>Service &amp; ops</t>
        </is>
      </c>
      <c r="E14" s="44">
        <f>'1. Customers'!$C$14</f>
        <v/>
      </c>
      <c r="F14" s="63">
        <f>'Inputs'!$F$108</f>
        <v/>
      </c>
      <c r="G14" s="44">
        <f>O14*F14</f>
        <v/>
      </c>
      <c r="H14" s="46">
        <f>G14*'3. HR &amp; Activity'!$C$7</f>
        <v/>
      </c>
      <c r="I14" s="62" t="inlineStr">
        <is>
          <t>SV-WP</t>
        </is>
      </c>
      <c r="J14" s="46">
        <f>H14*'Inputs'!$F$118</f>
        <v/>
      </c>
      <c r="K14" s="46">
        <f>H14*'Inputs'!$F$119</f>
        <v/>
      </c>
      <c r="L14" s="62" t="inlineStr">
        <is>
          <t>digital-amenable</t>
        </is>
      </c>
      <c r="M14" s="62" t="inlineStr">
        <is>
          <t>CONTINUOUS</t>
        </is>
      </c>
      <c r="O14" s="44">
        <f>IF('Inputs'!$F$198&lt;&gt;"LIVE",E14,IF(M14&lt;&gt;"TRANSACTIONAL",E14,IF(OR(N14="",N14&lt;=0),E14,E14/N14)))</f>
        <v/>
      </c>
      <c r="P14" s="17" t="n"/>
      <c r="Q14" s="35" t="n"/>
      <c r="S14" s="64" t="n"/>
      <c r="T14" s="46">
        <f>IFERROR(IF(Q14="",0,O14*(F14-Q14)*'3. HR &amp; Activity'!$C$7),0)+IFERROR(IF(OR(R14="",N14="",R14&lt;=0,N14&lt;=0),0,E14*(1/N14-1/R14)*F14*'3. HR &amp; Activity'!$C$7),0)</f>
        <v/>
      </c>
    </row>
    <row r="15">
      <c r="B15" s="10" t="inlineStr">
        <is>
          <t>Overdraft reviews &amp; renewals</t>
        </is>
      </c>
      <c r="C15" s="62" t="inlineStr">
        <is>
          <t>od</t>
        </is>
      </c>
      <c r="D15" s="10" t="inlineStr">
        <is>
          <t>Credit analyst</t>
        </is>
      </c>
      <c r="E15" s="44">
        <f>'1. Customers'!$C$15</f>
        <v/>
      </c>
      <c r="F15" s="63">
        <f>'Inputs'!$F$109</f>
        <v/>
      </c>
      <c r="G15" s="44">
        <f>O15*F15</f>
        <v/>
      </c>
      <c r="H15" s="46">
        <f>G15*'3. HR &amp; Activity'!$C$6</f>
        <v/>
      </c>
      <c r="I15" s="62" t="inlineStr">
        <is>
          <t>LN-WP</t>
        </is>
      </c>
      <c r="J15" s="46">
        <f>H15*'Inputs'!$F$118</f>
        <v/>
      </c>
      <c r="K15" s="46">
        <f>H15*'Inputs'!$F$119</f>
        <v/>
      </c>
      <c r="L15" s="62" t="inlineStr">
        <is>
          <t>judgement</t>
        </is>
      </c>
      <c r="M15" s="62" t="inlineStr">
        <is>
          <t>CONTINUOUS</t>
        </is>
      </c>
      <c r="O15" s="44">
        <f>IF('Inputs'!$F$198&lt;&gt;"LIVE",E15,IF(M15&lt;&gt;"TRANSACTIONAL",E15,IF(OR(N15="",N15&lt;=0),E15,E15/N15)))</f>
        <v/>
      </c>
      <c r="P15" s="17" t="n"/>
      <c r="Q15" s="35" t="n"/>
      <c r="S15" s="64" t="n"/>
      <c r="T15" s="46">
        <f>IFERROR(IF(Q15="",0,O15*(F15-Q15)*'3. HR &amp; Activity'!$C$6),0)+IFERROR(IF(OR(R15="",N15="",R15&lt;=0,N15&lt;=0),0,E15*(1/N15-1/R15)*F15*'3. HR &amp; Activity'!$C$6),0)</f>
        <v/>
      </c>
    </row>
    <row r="16">
      <c r="B16" s="10" t="inlineStr">
        <is>
          <t>Term loan underwriting (new loans)</t>
        </is>
      </c>
      <c r="C16" s="62" t="inlineStr">
        <is>
          <t>loan</t>
        </is>
      </c>
      <c r="D16" s="10" t="inlineStr">
        <is>
          <t>Credit analyst</t>
        </is>
      </c>
      <c r="E16" s="44">
        <f>'1. Customers'!$C$16/'Inputs'!$F$41</f>
        <v/>
      </c>
      <c r="F16" s="63">
        <f>'Inputs'!$F$110</f>
        <v/>
      </c>
      <c r="G16" s="44">
        <f>O16*F16</f>
        <v/>
      </c>
      <c r="H16" s="46">
        <f>G16*'3. HR &amp; Activity'!$C$6</f>
        <v/>
      </c>
      <c r="I16" s="62" t="inlineStr">
        <is>
          <t>LN-WP</t>
        </is>
      </c>
      <c r="J16" s="46">
        <f>H16*'Inputs'!$F$118</f>
        <v/>
      </c>
      <c r="K16" s="46">
        <f>H16*'Inputs'!$F$119</f>
        <v/>
      </c>
      <c r="L16" s="62" t="inlineStr">
        <is>
          <t>judgement</t>
        </is>
      </c>
      <c r="M16" s="62" t="inlineStr">
        <is>
          <t>TRANSACTIONAL</t>
        </is>
      </c>
      <c r="N16" s="17" t="n">
        <v>1</v>
      </c>
      <c r="O16" s="44">
        <f>IF('Inputs'!$F$198&lt;&gt;"LIVE",E16,IF(M16&lt;&gt;"TRANSACTIONAL",E16,IF(OR(N16="",N16&lt;=0),E16,E16/N16)))</f>
        <v/>
      </c>
      <c r="P16" s="17" t="n"/>
      <c r="Q16" s="35" t="n"/>
      <c r="R16" s="17" t="n"/>
      <c r="S16" s="64" t="n"/>
      <c r="T16" s="46">
        <f>IFERROR(IF(Q16="",0,O16*(F16-Q16)*'3. HR &amp; Activity'!$C$6),0)+IFERROR(IF(OR(R16="",N16="",R16&lt;=0,N16&lt;=0),0,E16*(1/N16-1/R16)*F16*'3. HR &amp; Activity'!$C$6),0)</f>
        <v/>
      </c>
    </row>
    <row r="17">
      <c r="B17" s="10" t="inlineStr">
        <is>
          <t>Term loan annual reviews</t>
        </is>
      </c>
      <c r="C17" s="62" t="inlineStr">
        <is>
          <t>loan</t>
        </is>
      </c>
      <c r="D17" s="10" t="inlineStr">
        <is>
          <t>Credit analyst</t>
        </is>
      </c>
      <c r="E17" s="44">
        <f>'1. Customers'!$C$16</f>
        <v/>
      </c>
      <c r="F17" s="63">
        <f>'Inputs'!$F$111</f>
        <v/>
      </c>
      <c r="G17" s="44">
        <f>O17*F17</f>
        <v/>
      </c>
      <c r="H17" s="46">
        <f>G17*'3. HR &amp; Activity'!$C$6</f>
        <v/>
      </c>
      <c r="I17" s="62" t="inlineStr">
        <is>
          <t>LN-WP</t>
        </is>
      </c>
      <c r="J17" s="46">
        <f>H17*'Inputs'!$F$118</f>
        <v/>
      </c>
      <c r="K17" s="46">
        <f>H17*'Inputs'!$F$119</f>
        <v/>
      </c>
      <c r="L17" s="62" t="inlineStr">
        <is>
          <t>judgement</t>
        </is>
      </c>
      <c r="M17" s="62" t="inlineStr">
        <is>
          <t>CONTINUOUS</t>
        </is>
      </c>
      <c r="O17" s="44">
        <f>IF('Inputs'!$F$198&lt;&gt;"LIVE",E17,IF(M17&lt;&gt;"TRANSACTIONAL",E17,IF(OR(N17="",N17&lt;=0),E17,E17/N17)))</f>
        <v/>
      </c>
      <c r="P17" s="17" t="n"/>
      <c r="Q17" s="35" t="n"/>
      <c r="S17" s="64" t="n"/>
      <c r="T17" s="46">
        <f>IFERROR(IF(Q17="",0,O17*(F17-Q17)*'3. HR &amp; Activity'!$C$6),0)+IFERROR(IF(OR(R17="",N17="",R17&lt;=0,N17&lt;=0),0,E17*(1/N17-1/R17)*F17*'3. HR &amp; Activity'!$C$6),0)</f>
        <v/>
      </c>
    </row>
    <row r="18">
      <c r="B18" s="10" t="inlineStr">
        <is>
          <t>Asset finance origination</t>
        </is>
      </c>
      <c r="C18" s="62" t="inlineStr">
        <is>
          <t>af</t>
        </is>
      </c>
      <c r="D18" s="10" t="inlineStr">
        <is>
          <t>Credit analyst</t>
        </is>
      </c>
      <c r="E18" s="44">
        <f>'1. Customers'!$C$17/'Inputs'!$F$44</f>
        <v/>
      </c>
      <c r="F18" s="63">
        <f>'Inputs'!$F$112</f>
        <v/>
      </c>
      <c r="G18" s="44">
        <f>O18*F18</f>
        <v/>
      </c>
      <c r="H18" s="46">
        <f>G18*'3. HR &amp; Activity'!$C$6</f>
        <v/>
      </c>
      <c r="I18" s="62" t="inlineStr">
        <is>
          <t>LN-WP</t>
        </is>
      </c>
      <c r="J18" s="46">
        <f>H18*'Inputs'!$F$118</f>
        <v/>
      </c>
      <c r="K18" s="46">
        <f>H18*'Inputs'!$F$119</f>
        <v/>
      </c>
      <c r="L18" s="62" t="inlineStr">
        <is>
          <t>digital-amenable</t>
        </is>
      </c>
      <c r="M18" s="62" t="inlineStr">
        <is>
          <t>TRANSACTIONAL</t>
        </is>
      </c>
      <c r="N18" s="17" t="n">
        <v>1</v>
      </c>
      <c r="O18" s="44">
        <f>IF('Inputs'!$F$198&lt;&gt;"LIVE",E18,IF(M18&lt;&gt;"TRANSACTIONAL",E18,IF(OR(N18="",N18&lt;=0),E18,E18/N18)))</f>
        <v/>
      </c>
      <c r="P18" s="17" t="n"/>
      <c r="Q18" s="35" t="n"/>
      <c r="R18" s="17" t="n"/>
      <c r="S18" s="64" t="n"/>
      <c r="T18" s="46">
        <f>IFERROR(IF(Q18="",0,O18*(F18-Q18)*'3. HR &amp; Activity'!$C$6),0)+IFERROR(IF(OR(R18="",N18="",R18&lt;=0,N18&lt;=0),0,E18*(1/N18-1/R18)*F18*'3. HR &amp; Activity'!$C$6),0)</f>
        <v/>
      </c>
    </row>
    <row r="19">
      <c r="B19" s="10" t="inlineStr">
        <is>
          <t>Invoice finance client onboarding</t>
        </is>
      </c>
      <c r="C19" s="62" t="inlineStr">
        <is>
          <t>inv</t>
        </is>
      </c>
      <c r="D19" s="10" t="inlineStr">
        <is>
          <t>Credit analyst</t>
        </is>
      </c>
      <c r="E19" s="44">
        <f>'1. Customers'!$C$18/'Inputs'!$F$47</f>
        <v/>
      </c>
      <c r="F19" s="63">
        <f>'Inputs'!$F$113</f>
        <v/>
      </c>
      <c r="G19" s="44">
        <f>O19*F19</f>
        <v/>
      </c>
      <c r="H19" s="46">
        <f>G19*'3. HR &amp; Activity'!$C$6</f>
        <v/>
      </c>
      <c r="I19" s="62" t="inlineStr">
        <is>
          <t>LN-WP</t>
        </is>
      </c>
      <c r="J19" s="46">
        <f>H19*'Inputs'!$F$118</f>
        <v/>
      </c>
      <c r="K19" s="46">
        <f>H19*'Inputs'!$F$119</f>
        <v/>
      </c>
      <c r="L19" s="62" t="inlineStr">
        <is>
          <t>judgement</t>
        </is>
      </c>
      <c r="M19" s="62" t="inlineStr">
        <is>
          <t>TRANSACTIONAL</t>
        </is>
      </c>
      <c r="N19" s="17" t="n">
        <v>1</v>
      </c>
      <c r="O19" s="44">
        <f>IF('Inputs'!$F$198&lt;&gt;"LIVE",E19,IF(M19&lt;&gt;"TRANSACTIONAL",E19,IF(OR(N19="",N19&lt;=0),E19,E19/N19)))</f>
        <v/>
      </c>
      <c r="P19" s="17" t="n"/>
      <c r="Q19" s="35" t="n"/>
      <c r="R19" s="17" t="n"/>
      <c r="S19" s="64" t="n"/>
      <c r="T19" s="46">
        <f>IFERROR(IF(Q19="",0,O19*(F19-Q19)*'3. HR &amp; Activity'!$C$6),0)+IFERROR(IF(OR(R19="",N19="",R19&lt;=0,N19&lt;=0),0,E19*(1/N19-1/R19)*F19*'3. HR &amp; Activity'!$C$6),0)</f>
        <v/>
      </c>
    </row>
    <row r="20">
      <c r="B20" s="10" t="inlineStr">
        <is>
          <t>Invoice finance monitoring</t>
        </is>
      </c>
      <c r="C20" s="62" t="inlineStr">
        <is>
          <t>inv</t>
        </is>
      </c>
      <c r="D20" s="10" t="inlineStr">
        <is>
          <t>Credit analyst</t>
        </is>
      </c>
      <c r="E20" s="44">
        <f>'1. Customers'!$C$18</f>
        <v/>
      </c>
      <c r="F20" s="63">
        <f>'Inputs'!$F$114*12</f>
        <v/>
      </c>
      <c r="G20" s="44">
        <f>O20*F20</f>
        <v/>
      </c>
      <c r="H20" s="46">
        <f>G20*'3. HR &amp; Activity'!$C$6</f>
        <v/>
      </c>
      <c r="I20" s="62" t="inlineStr">
        <is>
          <t>LN-WP</t>
        </is>
      </c>
      <c r="J20" s="46">
        <f>H20*'Inputs'!$F$118</f>
        <v/>
      </c>
      <c r="K20" s="46">
        <f>H20*'Inputs'!$F$119</f>
        <v/>
      </c>
      <c r="L20" s="62" t="inlineStr">
        <is>
          <t>judgement</t>
        </is>
      </c>
      <c r="M20" s="62" t="inlineStr">
        <is>
          <t>CONTINUOUS</t>
        </is>
      </c>
      <c r="O20" s="44">
        <f>IF('Inputs'!$F$198&lt;&gt;"LIVE",E20,IF(M20&lt;&gt;"TRANSACTIONAL",E20,IF(OR(N20="",N20&lt;=0),E20,E20/N20)))</f>
        <v/>
      </c>
      <c r="P20" s="17" t="n"/>
      <c r="Q20" s="35" t="n"/>
      <c r="S20" s="64" t="n"/>
      <c r="T20" s="46">
        <f>IFERROR(IF(Q20="",0,O20*(F20-Q20)*'3. HR &amp; Activity'!$C$6),0)+IFERROR(IF(OR(R20="",N20="",R20&lt;=0,N20&lt;=0),0,E20*(1/N20-1/R20)*F20*'3. HR &amp; Activity'!$C$6),0)</f>
        <v/>
      </c>
    </row>
    <row r="21">
      <c r="B21" s="10" t="inlineStr">
        <is>
          <t>Card servicing</t>
        </is>
      </c>
      <c r="C21" s="62" t="inlineStr">
        <is>
          <t>card</t>
        </is>
      </c>
      <c r="D21" s="10" t="inlineStr">
        <is>
          <t>Service &amp; ops</t>
        </is>
      </c>
      <c r="E21" s="44">
        <f>'1. Customers'!$C$19</f>
        <v/>
      </c>
      <c r="F21" s="63">
        <f>'Inputs'!$F$115</f>
        <v/>
      </c>
      <c r="G21" s="44">
        <f>O21*F21</f>
        <v/>
      </c>
      <c r="H21" s="46">
        <f>G21*'3. HR &amp; Activity'!$C$7</f>
        <v/>
      </c>
      <c r="I21" s="62" t="inlineStr">
        <is>
          <t>CC-WP</t>
        </is>
      </c>
      <c r="J21" s="46">
        <f>H21*'Inputs'!$F$118</f>
        <v/>
      </c>
      <c r="K21" s="46">
        <f>H21*'Inputs'!$F$119</f>
        <v/>
      </c>
      <c r="L21" s="62" t="inlineStr">
        <is>
          <t>digital-amenable</t>
        </is>
      </c>
      <c r="M21" s="62" t="inlineStr">
        <is>
          <t>CONTINUOUS</t>
        </is>
      </c>
      <c r="O21" s="44">
        <f>IF('Inputs'!$F$198&lt;&gt;"LIVE",E21,IF(M21&lt;&gt;"TRANSACTIONAL",E21,IF(OR(N21="",N21&lt;=0),E21,E21/N21)))</f>
        <v/>
      </c>
      <c r="P21" s="17" t="n"/>
      <c r="Q21" s="35" t="n"/>
      <c r="S21" s="64" t="n"/>
      <c r="T21" s="46">
        <f>IFERROR(IF(Q21="",0,O21*(F21-Q21)*'3. HR &amp; Activity'!$C$7),0)+IFERROR(IF(OR(R21="",N21="",R21&lt;=0,N21&lt;=0),0,E21*(1/N21-1/R21)*F21*'3. HR &amp; Activity'!$C$7),0)</f>
        <v/>
      </c>
    </row>
    <row r="22">
      <c r="B22" s="10" t="inlineStr">
        <is>
          <t>Payments &amp; FX support</t>
        </is>
      </c>
      <c r="C22" s="62" t="inlineStr">
        <is>
          <t>fx</t>
        </is>
      </c>
      <c r="D22" s="10" t="inlineStr">
        <is>
          <t>Service &amp; ops</t>
        </is>
      </c>
      <c r="E22" s="44">
        <f>'1. Customers'!$C$20</f>
        <v/>
      </c>
      <c r="F22" s="63">
        <f>'Inputs'!$F$116</f>
        <v/>
      </c>
      <c r="G22" s="44">
        <f>O22*F22</f>
        <v/>
      </c>
      <c r="H22" s="46">
        <f>G22*'3. HR &amp; Activity'!$C$7</f>
        <v/>
      </c>
      <c r="I22" s="62" t="inlineStr">
        <is>
          <t>PX-WP</t>
        </is>
      </c>
      <c r="J22" s="46">
        <f>H22*'Inputs'!$F$118</f>
        <v/>
      </c>
      <c r="K22" s="46">
        <f>H22*'Inputs'!$F$119</f>
        <v/>
      </c>
      <c r="L22" s="62" t="inlineStr">
        <is>
          <t>digital-amenable</t>
        </is>
      </c>
      <c r="M22" s="62" t="inlineStr">
        <is>
          <t>CONTINUOUS</t>
        </is>
      </c>
      <c r="O22" s="44">
        <f>IF('Inputs'!$F$198&lt;&gt;"LIVE",E22,IF(M22&lt;&gt;"TRANSACTIONAL",E22,IF(OR(N22="",N22&lt;=0),E22,E22/N22)))</f>
        <v/>
      </c>
      <c r="P22" s="17" t="n"/>
      <c r="Q22" s="35" t="n"/>
      <c r="S22" s="64" t="n"/>
      <c r="T22" s="46">
        <f>IFERROR(IF(Q22="",0,O22*(F22-Q22)*'3. HR &amp; Activity'!$C$7),0)+IFERROR(IF(OR(R22="",N22="",R22&lt;=0,N22&lt;=0),0,E22*(1/N22-1/R22)*F22*'3. HR &amp; Activity'!$C$7),0)</f>
        <v/>
      </c>
    </row>
    <row r="23">
      <c r="B23" s="10" t="inlineStr">
        <is>
          <t>Collections — overdrafts</t>
        </is>
      </c>
      <c r="C23" s="62" t="inlineStr">
        <is>
          <t>od</t>
        </is>
      </c>
      <c r="D23" s="10" t="inlineStr">
        <is>
          <t>Credit analyst</t>
        </is>
      </c>
      <c r="E23" s="44">
        <f>'1. Customers'!$C$15*'Inputs'!$F$117</f>
        <v/>
      </c>
      <c r="F23" s="63">
        <f>'Inputs'!$F$120</f>
        <v/>
      </c>
      <c r="G23" s="44">
        <f>O23*F23</f>
        <v/>
      </c>
      <c r="H23" s="46">
        <f>G23*'3. HR &amp; Activity'!$C$6</f>
        <v/>
      </c>
      <c r="I23" s="62" t="inlineStr">
        <is>
          <t>LN-WP</t>
        </is>
      </c>
      <c r="J23" s="46">
        <f>H23*'Inputs'!$F$118</f>
        <v/>
      </c>
      <c r="K23" s="46">
        <f>H23*'Inputs'!$F$119</f>
        <v/>
      </c>
      <c r="L23" s="62" t="inlineStr">
        <is>
          <t>judgement</t>
        </is>
      </c>
      <c r="M23" s="62" t="inlineStr">
        <is>
          <t>CONTINUOUS</t>
        </is>
      </c>
      <c r="O23" s="44">
        <f>IF('Inputs'!$F$198&lt;&gt;"LIVE",E23,IF(M23&lt;&gt;"TRANSACTIONAL",E23,IF(OR(N23="",N23&lt;=0),E23,E23/N23)))</f>
        <v/>
      </c>
      <c r="P23" s="17" t="n"/>
      <c r="Q23" s="35" t="n"/>
      <c r="S23" s="64" t="n"/>
      <c r="T23" s="46">
        <f>IFERROR(IF(Q23="",0,O23*(F23-Q23)*'3. HR &amp; Activity'!$C$6),0)+IFERROR(IF(OR(R23="",N23="",R23&lt;=0,N23&lt;=0),0,E23*(1/N23-1/R23)*F23*'3. HR &amp; Activity'!$C$6),0)</f>
        <v/>
      </c>
    </row>
    <row r="24">
      <c r="B24" s="10" t="inlineStr">
        <is>
          <t>Collections — term loans</t>
        </is>
      </c>
      <c r="C24" s="62" t="inlineStr">
        <is>
          <t>loan</t>
        </is>
      </c>
      <c r="D24" s="10" t="inlineStr">
        <is>
          <t>Credit analyst</t>
        </is>
      </c>
      <c r="E24" s="44">
        <f>'1. Customers'!$C$16*'Inputs'!$F$117</f>
        <v/>
      </c>
      <c r="F24" s="63">
        <f>'Inputs'!$F$120</f>
        <v/>
      </c>
      <c r="G24" s="44">
        <f>O24*F24</f>
        <v/>
      </c>
      <c r="H24" s="46">
        <f>G24*'3. HR &amp; Activity'!$C$6</f>
        <v/>
      </c>
      <c r="I24" s="62" t="inlineStr">
        <is>
          <t>LN-WP</t>
        </is>
      </c>
      <c r="J24" s="46">
        <f>H24*'Inputs'!$F$118</f>
        <v/>
      </c>
      <c r="K24" s="46">
        <f>H24*'Inputs'!$F$119</f>
        <v/>
      </c>
      <c r="L24" s="62" t="inlineStr">
        <is>
          <t>judgement</t>
        </is>
      </c>
      <c r="M24" s="62" t="inlineStr">
        <is>
          <t>CONTINUOUS</t>
        </is>
      </c>
      <c r="O24" s="44">
        <f>IF('Inputs'!$F$198&lt;&gt;"LIVE",E24,IF(M24&lt;&gt;"TRANSACTIONAL",E24,IF(OR(N24="",N24&lt;=0),E24,E24/N24)))</f>
        <v/>
      </c>
      <c r="P24" s="17" t="n"/>
      <c r="Q24" s="35" t="n"/>
      <c r="S24" s="64" t="n"/>
      <c r="T24" s="46">
        <f>IFERROR(IF(Q24="",0,O24*(F24-Q24)*'3. HR &amp; Activity'!$C$6),0)+IFERROR(IF(OR(R24="",N24="",R24&lt;=0,N24&lt;=0),0,E24*(1/N24-1/R24)*F24*'3. HR &amp; Activity'!$C$6),0)</f>
        <v/>
      </c>
    </row>
    <row r="25">
      <c r="B25" s="10" t="inlineStr">
        <is>
          <t>Collections — asset finance</t>
        </is>
      </c>
      <c r="C25" s="62" t="inlineStr">
        <is>
          <t>af</t>
        </is>
      </c>
      <c r="D25" s="10" t="inlineStr">
        <is>
          <t>Credit analyst</t>
        </is>
      </c>
      <c r="E25" s="44">
        <f>'1. Customers'!$C$17*'Inputs'!$F$117</f>
        <v/>
      </c>
      <c r="F25" s="63">
        <f>'Inputs'!$F$120</f>
        <v/>
      </c>
      <c r="G25" s="44">
        <f>O25*F25</f>
        <v/>
      </c>
      <c r="H25" s="46">
        <f>G25*'3. HR &amp; Activity'!$C$6</f>
        <v/>
      </c>
      <c r="I25" s="62" t="inlineStr">
        <is>
          <t>LN-WP</t>
        </is>
      </c>
      <c r="J25" s="46">
        <f>H25*'Inputs'!$F$118</f>
        <v/>
      </c>
      <c r="K25" s="46">
        <f>H25*'Inputs'!$F$119</f>
        <v/>
      </c>
      <c r="L25" s="62" t="inlineStr">
        <is>
          <t>judgement</t>
        </is>
      </c>
      <c r="M25" s="62" t="inlineStr">
        <is>
          <t>CONTINUOUS</t>
        </is>
      </c>
      <c r="O25" s="44">
        <f>IF('Inputs'!$F$198&lt;&gt;"LIVE",E25,IF(M25&lt;&gt;"TRANSACTIONAL",E25,IF(OR(N25="",N25&lt;=0),E25,E25/N25)))</f>
        <v/>
      </c>
      <c r="P25" s="17" t="n"/>
      <c r="Q25" s="35" t="n"/>
      <c r="S25" s="64" t="n"/>
      <c r="T25" s="46">
        <f>IFERROR(IF(Q25="",0,O25*(F25-Q25)*'3. HR &amp; Activity'!$C$6),0)+IFERROR(IF(OR(R25="",N25="",R25&lt;=0,N25&lt;=0),0,E25*(1/N25-1/R25)*F25*'3. HR &amp; Activity'!$C$6),0)</f>
        <v/>
      </c>
    </row>
    <row r="26">
      <c r="B26" s="10" t="inlineStr">
        <is>
          <t>Collections — invoice finance</t>
        </is>
      </c>
      <c r="C26" s="62" t="inlineStr">
        <is>
          <t>inv</t>
        </is>
      </c>
      <c r="D26" s="10" t="inlineStr">
        <is>
          <t>Credit analyst</t>
        </is>
      </c>
      <c r="E26" s="44">
        <f>'1. Customers'!$C$18*'Inputs'!$F$117</f>
        <v/>
      </c>
      <c r="F26" s="63">
        <f>'Inputs'!$F$120</f>
        <v/>
      </c>
      <c r="G26" s="44">
        <f>O26*F26</f>
        <v/>
      </c>
      <c r="H26" s="46">
        <f>G26*'3. HR &amp; Activity'!$C$6</f>
        <v/>
      </c>
      <c r="I26" s="62" t="inlineStr">
        <is>
          <t>LN-WP</t>
        </is>
      </c>
      <c r="J26" s="46">
        <f>H26*'Inputs'!$F$118</f>
        <v/>
      </c>
      <c r="K26" s="46">
        <f>H26*'Inputs'!$F$119</f>
        <v/>
      </c>
      <c r="L26" s="62" t="inlineStr">
        <is>
          <t>judgement</t>
        </is>
      </c>
      <c r="M26" s="62" t="inlineStr">
        <is>
          <t>CONTINUOUS</t>
        </is>
      </c>
      <c r="O26" s="44">
        <f>IF('Inputs'!$F$198&lt;&gt;"LIVE",E26,IF(M26&lt;&gt;"TRANSACTIONAL",E26,IF(OR(N26="",N26&lt;=0),E26,E26/N26)))</f>
        <v/>
      </c>
      <c r="P26" s="17" t="n"/>
      <c r="Q26" s="35" t="n"/>
      <c r="S26" s="64" t="n"/>
      <c r="T26" s="46">
        <f>IFERROR(IF(Q26="",0,O26*(F26-Q26)*'3. HR &amp; Activity'!$C$6),0)+IFERROR(IF(OR(R26="",N26="",R26&lt;=0,N26&lt;=0),0,E26*(1/N26-1/R26)*F26*'3. HR &amp; Activity'!$C$6),0)</f>
        <v/>
      </c>
    </row>
    <row r="27">
      <c r="B27" s="10" t="inlineStr">
        <is>
          <t>Collections — cards</t>
        </is>
      </c>
      <c r="C27" s="62" t="inlineStr">
        <is>
          <t>card</t>
        </is>
      </c>
      <c r="D27" s="10" t="inlineStr">
        <is>
          <t>Credit analyst</t>
        </is>
      </c>
      <c r="E27" s="44">
        <f>'1. Customers'!$C$19*'Inputs'!$F$117</f>
        <v/>
      </c>
      <c r="F27" s="63">
        <f>'Inputs'!$F$120</f>
        <v/>
      </c>
      <c r="G27" s="44">
        <f>O27*F27</f>
        <v/>
      </c>
      <c r="H27" s="46">
        <f>G27*'3. HR &amp; Activity'!$C$6</f>
        <v/>
      </c>
      <c r="I27" s="62" t="inlineStr">
        <is>
          <t>CC-WP</t>
        </is>
      </c>
      <c r="J27" s="46">
        <f>H27*'Inputs'!$F$118</f>
        <v/>
      </c>
      <c r="K27" s="46">
        <f>H27*'Inputs'!$F$119</f>
        <v/>
      </c>
      <c r="L27" s="62" t="inlineStr">
        <is>
          <t>judgement</t>
        </is>
      </c>
      <c r="M27" s="62" t="inlineStr">
        <is>
          <t>CONTINUOUS</t>
        </is>
      </c>
      <c r="O27" s="44">
        <f>IF('Inputs'!$F$198&lt;&gt;"LIVE",E27,IF(M27&lt;&gt;"TRANSACTIONAL",E27,IF(OR(N27="",N27&lt;=0),E27,E27/N27)))</f>
        <v/>
      </c>
      <c r="P27" s="17" t="n"/>
      <c r="Q27" s="35" t="n"/>
      <c r="S27" s="64" t="n"/>
      <c r="T27" s="46">
        <f>IFERROR(IF(Q27="",0,O27*(F27-Q27)*'3. HR &amp; Activity'!$C$6),0)+IFERROR(IF(OR(R27="",N27="",R27&lt;=0,N27&lt;=0),0,E27*(1/N27-1/R27)*F27*'3. HR &amp; Activity'!$C$6),0)</f>
        <v/>
      </c>
    </row>
    <row r="28">
      <c r="B28" s="10" t="inlineStr">
        <is>
          <t>Collateral administration — term loans</t>
        </is>
      </c>
      <c r="C28" s="62" t="inlineStr">
        <is>
          <t>loan</t>
        </is>
      </c>
      <c r="D28" s="10" t="inlineStr">
        <is>
          <t>Credit analyst</t>
        </is>
      </c>
      <c r="E28" s="44">
        <f>'1. Customers'!$C$16</f>
        <v/>
      </c>
      <c r="F28" s="63">
        <f>'Inputs'!$F$121</f>
        <v/>
      </c>
      <c r="G28" s="44">
        <f>O28*F28</f>
        <v/>
      </c>
      <c r="H28" s="46">
        <f>G28*'3. HR &amp; Activity'!$C$6</f>
        <v/>
      </c>
      <c r="I28" s="62" t="inlineStr">
        <is>
          <t>LN-WP</t>
        </is>
      </c>
      <c r="J28" s="46">
        <f>H28*'Inputs'!$F$118</f>
        <v/>
      </c>
      <c r="K28" s="46">
        <f>H28*'Inputs'!$F$119</f>
        <v/>
      </c>
      <c r="L28" s="62" t="inlineStr">
        <is>
          <t>digital-amenable</t>
        </is>
      </c>
      <c r="M28" s="62" t="inlineStr">
        <is>
          <t>CONTINUOUS</t>
        </is>
      </c>
      <c r="O28" s="44">
        <f>IF('Inputs'!$F$198&lt;&gt;"LIVE",E28,IF(M28&lt;&gt;"TRANSACTIONAL",E28,IF(OR(N28="",N28&lt;=0),E28,E28/N28)))</f>
        <v/>
      </c>
      <c r="P28" s="17" t="n"/>
      <c r="Q28" s="35" t="n"/>
      <c r="S28" s="64" t="n"/>
      <c r="T28" s="46">
        <f>IFERROR(IF(Q28="",0,O28*(F28-Q28)*'3. HR &amp; Activity'!$C$6),0)+IFERROR(IF(OR(R28="",N28="",R28&lt;=0,N28&lt;=0),0,E28*(1/N28-1/R28)*F28*'3. HR &amp; Activity'!$C$6),0)</f>
        <v/>
      </c>
    </row>
    <row r="29">
      <c r="B29" s="10" t="inlineStr">
        <is>
          <t>Collateral administration — asset finance</t>
        </is>
      </c>
      <c r="C29" s="62" t="inlineStr">
        <is>
          <t>af</t>
        </is>
      </c>
      <c r="D29" s="10" t="inlineStr">
        <is>
          <t>Credit analyst</t>
        </is>
      </c>
      <c r="E29" s="44">
        <f>'1. Customers'!$C$17</f>
        <v/>
      </c>
      <c r="F29" s="63">
        <f>'Inputs'!$F$121</f>
        <v/>
      </c>
      <c r="G29" s="44">
        <f>O29*F29</f>
        <v/>
      </c>
      <c r="H29" s="46">
        <f>G29*'3. HR &amp; Activity'!$C$6</f>
        <v/>
      </c>
      <c r="I29" s="62" t="inlineStr">
        <is>
          <t>LN-WP</t>
        </is>
      </c>
      <c r="J29" s="46">
        <f>H29*'Inputs'!$F$118</f>
        <v/>
      </c>
      <c r="K29" s="46">
        <f>H29*'Inputs'!$F$119</f>
        <v/>
      </c>
      <c r="L29" s="62" t="inlineStr">
        <is>
          <t>digital-amenable</t>
        </is>
      </c>
      <c r="M29" s="62" t="inlineStr">
        <is>
          <t>CONTINUOUS</t>
        </is>
      </c>
      <c r="O29" s="44">
        <f>IF('Inputs'!$F$198&lt;&gt;"LIVE",E29,IF(M29&lt;&gt;"TRANSACTIONAL",E29,IF(OR(N29="",N29&lt;=0),E29,E29/N29)))</f>
        <v/>
      </c>
      <c r="P29" s="17" t="n"/>
      <c r="Q29" s="35" t="n"/>
      <c r="S29" s="64" t="n"/>
      <c r="T29" s="46">
        <f>IFERROR(IF(Q29="",0,O29*(F29-Q29)*'3. HR &amp; Activity'!$C$6),0)+IFERROR(IF(OR(R29="",N29="",R29&lt;=0,N29&lt;=0),0,E29*(1/N29-1/R29)*F29*'3. HR &amp; Activity'!$C$6),0)</f>
        <v/>
      </c>
    </row>
    <row r="30">
      <c r="B30" s="10" t="inlineStr">
        <is>
          <t>Collateral administration — invoice finance</t>
        </is>
      </c>
      <c r="C30" s="62" t="inlineStr">
        <is>
          <t>inv</t>
        </is>
      </c>
      <c r="D30" s="10" t="inlineStr">
        <is>
          <t>Credit analyst</t>
        </is>
      </c>
      <c r="E30" s="44">
        <f>'1. Customers'!$C$18</f>
        <v/>
      </c>
      <c r="F30" s="63">
        <f>'Inputs'!$F$121</f>
        <v/>
      </c>
      <c r="G30" s="44">
        <f>O30*F30</f>
        <v/>
      </c>
      <c r="H30" s="46">
        <f>G30*'3. HR &amp; Activity'!$C$6</f>
        <v/>
      </c>
      <c r="I30" s="62" t="inlineStr">
        <is>
          <t>LN-WP</t>
        </is>
      </c>
      <c r="J30" s="46">
        <f>H30*'Inputs'!$F$118</f>
        <v/>
      </c>
      <c r="K30" s="46">
        <f>H30*'Inputs'!$F$119</f>
        <v/>
      </c>
      <c r="L30" s="62" t="inlineStr">
        <is>
          <t>digital-amenable</t>
        </is>
      </c>
      <c r="M30" s="62" t="inlineStr">
        <is>
          <t>CONTINUOUS</t>
        </is>
      </c>
      <c r="O30" s="44">
        <f>IF('Inputs'!$F$198&lt;&gt;"LIVE",E30,IF(M30&lt;&gt;"TRANSACTIONAL",E30,IF(OR(N30="",N30&lt;=0),E30,E30/N30)))</f>
        <v/>
      </c>
      <c r="P30" s="17" t="n"/>
      <c r="Q30" s="35" t="n"/>
      <c r="S30" s="64" t="n"/>
      <c r="T30" s="46">
        <f>IFERROR(IF(Q30="",0,O30*(F30-Q30)*'3. HR &amp; Activity'!$C$6),0)+IFERROR(IF(OR(R30="",N30="",R30&lt;=0,N30&lt;=0),0,E30*(1/N30-1/R30)*F30*'3. HR &amp; Activity'!$C$6),0)</f>
        <v/>
      </c>
    </row>
    <row r="31">
      <c r="B31" s="10" t="inlineStr">
        <is>
          <t>Recoveries &amp; workout — term loans</t>
        </is>
      </c>
      <c r="C31" s="62" t="inlineStr">
        <is>
          <t>loan</t>
        </is>
      </c>
      <c r="D31" s="10" t="inlineStr">
        <is>
          <t>Credit analyst</t>
        </is>
      </c>
      <c r="E31" s="44">
        <f>'1. Customers'!$C$16*'Inputs'!$F$117</f>
        <v/>
      </c>
      <c r="F31" s="63">
        <f>'Inputs'!$F$122</f>
        <v/>
      </c>
      <c r="G31" s="44">
        <f>O31*F31</f>
        <v/>
      </c>
      <c r="H31" s="46">
        <f>G31*'3. HR &amp; Activity'!$C$6</f>
        <v/>
      </c>
      <c r="I31" s="62" t="inlineStr">
        <is>
          <t>LN-WP</t>
        </is>
      </c>
      <c r="J31" s="46">
        <f>H31*'Inputs'!$F$118</f>
        <v/>
      </c>
      <c r="K31" s="46">
        <f>H31*'Inputs'!$F$119</f>
        <v/>
      </c>
      <c r="L31" s="62" t="inlineStr">
        <is>
          <t>judgement</t>
        </is>
      </c>
      <c r="M31" s="62" t="inlineStr">
        <is>
          <t>CONTINUOUS</t>
        </is>
      </c>
      <c r="O31" s="44">
        <f>IF('Inputs'!$F$198&lt;&gt;"LIVE",E31,IF(M31&lt;&gt;"TRANSACTIONAL",E31,IF(OR(N31="",N31&lt;=0),E31,E31/N31)))</f>
        <v/>
      </c>
      <c r="P31" s="17" t="n"/>
      <c r="Q31" s="35" t="n"/>
      <c r="S31" s="64" t="n"/>
      <c r="T31" s="46">
        <f>IFERROR(IF(Q31="",0,O31*(F31-Q31)*'3. HR &amp; Activity'!$C$6),0)+IFERROR(IF(OR(R31="",N31="",R31&lt;=0,N31&lt;=0),0,E31*(1/N31-1/R31)*F31*'3. HR &amp; Activity'!$C$6),0)</f>
        <v/>
      </c>
    </row>
    <row r="32">
      <c r="B32" s="10" t="inlineStr">
        <is>
          <t>Recoveries &amp; workout — asset finance</t>
        </is>
      </c>
      <c r="C32" s="62" t="inlineStr">
        <is>
          <t>af</t>
        </is>
      </c>
      <c r="D32" s="10" t="inlineStr">
        <is>
          <t>Credit analyst</t>
        </is>
      </c>
      <c r="E32" s="44">
        <f>'1. Customers'!$C$17*'Inputs'!$F$117</f>
        <v/>
      </c>
      <c r="F32" s="63">
        <f>'Inputs'!$F$122</f>
        <v/>
      </c>
      <c r="G32" s="44">
        <f>O32*F32</f>
        <v/>
      </c>
      <c r="H32" s="46">
        <f>G32*'3. HR &amp; Activity'!$C$6</f>
        <v/>
      </c>
      <c r="I32" s="62" t="inlineStr">
        <is>
          <t>LN-WP</t>
        </is>
      </c>
      <c r="J32" s="46">
        <f>H32*'Inputs'!$F$118</f>
        <v/>
      </c>
      <c r="K32" s="46">
        <f>H32*'Inputs'!$F$119</f>
        <v/>
      </c>
      <c r="L32" s="62" t="inlineStr">
        <is>
          <t>judgement</t>
        </is>
      </c>
      <c r="M32" s="62" t="inlineStr">
        <is>
          <t>CONTINUOUS</t>
        </is>
      </c>
      <c r="O32" s="44">
        <f>IF('Inputs'!$F$198&lt;&gt;"LIVE",E32,IF(M32&lt;&gt;"TRANSACTIONAL",E32,IF(OR(N32="",N32&lt;=0),E32,E32/N32)))</f>
        <v/>
      </c>
      <c r="P32" s="17" t="n"/>
      <c r="Q32" s="35" t="n"/>
      <c r="S32" s="64" t="n"/>
      <c r="T32" s="46">
        <f>IFERROR(IF(Q32="",0,O32*(F32-Q32)*'3. HR &amp; Activity'!$C$6),0)+IFERROR(IF(OR(R32="",N32="",R32&lt;=0,N32&lt;=0),0,E32*(1/N32-1/R32)*F32*'3. HR &amp; Activity'!$C$6),0)</f>
        <v/>
      </c>
    </row>
    <row r="33">
      <c r="B33" s="10" t="inlineStr">
        <is>
          <t>Recoveries &amp; workout — invoice finance</t>
        </is>
      </c>
      <c r="C33" s="62" t="inlineStr">
        <is>
          <t>inv</t>
        </is>
      </c>
      <c r="D33" s="10" t="inlineStr">
        <is>
          <t>Credit analyst</t>
        </is>
      </c>
      <c r="E33" s="44">
        <f>'1. Customers'!$C$18*'Inputs'!$F$117</f>
        <v/>
      </c>
      <c r="F33" s="63">
        <f>'Inputs'!$F$122</f>
        <v/>
      </c>
      <c r="G33" s="44">
        <f>O33*F33</f>
        <v/>
      </c>
      <c r="H33" s="46">
        <f>G33*'3. HR &amp; Activity'!$C$6</f>
        <v/>
      </c>
      <c r="I33" s="62" t="inlineStr">
        <is>
          <t>LN-WP</t>
        </is>
      </c>
      <c r="J33" s="46">
        <f>H33*'Inputs'!$F$118</f>
        <v/>
      </c>
      <c r="K33" s="46">
        <f>H33*'Inputs'!$F$119</f>
        <v/>
      </c>
      <c r="L33" s="62" t="inlineStr">
        <is>
          <t>judgement</t>
        </is>
      </c>
      <c r="M33" s="62" t="inlineStr">
        <is>
          <t>CONTINUOUS</t>
        </is>
      </c>
      <c r="O33" s="44">
        <f>IF('Inputs'!$F$198&lt;&gt;"LIVE",E33,IF(M33&lt;&gt;"TRANSACTIONAL",E33,IF(OR(N33="",N33&lt;=0),E33,E33/N33)))</f>
        <v/>
      </c>
      <c r="P33" s="17" t="n"/>
      <c r="Q33" s="35" t="n"/>
      <c r="S33" s="64" t="n"/>
      <c r="T33" s="46">
        <f>IFERROR(IF(Q33="",0,O33*(F33-Q33)*'3. HR &amp; Activity'!$C$6),0)+IFERROR(IF(OR(R33="",N33="",R33&lt;=0,N33&lt;=0),0,E33*(1/N33-1/R33)*F33*'3. HR &amp; Activity'!$C$6),0)</f>
        <v/>
      </c>
    </row>
    <row r="35">
      <c r="B35" s="7" t="inlineStr">
        <is>
          <t>FTE REQUIREMENT &amp; COST (customer load, L)</t>
        </is>
      </c>
      <c r="C35" s="8" t="inlineStr"/>
      <c r="D35" s="8" t="inlineStr"/>
      <c r="E35" s="8" t="inlineStr"/>
      <c r="F35" s="8" t="inlineStr"/>
      <c r="G35" s="8" t="inlineStr"/>
      <c r="H35" s="8" t="inlineStr"/>
    </row>
    <row r="36">
      <c r="B36" s="9" t="inlineStr">
        <is>
          <t>Role</t>
        </is>
      </c>
      <c r="C36" s="9" t="inlineStr"/>
      <c r="D36" s="9" t="inlineStr">
        <is>
          <t>FTEs</t>
        </is>
      </c>
      <c r="E36" s="9" t="inlineStr">
        <is>
          <t>Salary (£)</t>
        </is>
      </c>
      <c r="F36" s="9" t="inlineStr"/>
      <c r="G36" s="9" t="inlineStr"/>
      <c r="H36" s="9" t="inlineStr">
        <is>
          <t>Total cost (£/yr)</t>
        </is>
      </c>
    </row>
    <row r="37">
      <c r="B37" s="10" t="inlineStr">
        <is>
          <t>Relationship managers (portfolio-driven)</t>
        </is>
      </c>
      <c r="D37" s="51">
        <f>'1. Customers'!$C$5/'Inputs'!$F$25</f>
        <v/>
      </c>
      <c r="E37" s="59">
        <f>'Inputs'!$F$99</f>
        <v/>
      </c>
      <c r="H37" s="46">
        <f>D37*E37*(1+'Inputs'!$F$103)</f>
        <v/>
      </c>
    </row>
    <row r="38">
      <c r="B38" s="10" t="inlineStr">
        <is>
          <t>Credit analysts / underwriters (activity-driven)</t>
        </is>
      </c>
      <c r="D38" s="51">
        <f>SUMIF('3. HR &amp; Activity'!$D$11:$D$33,"Credit analyst",'3. HR &amp; Activity'!$G$11:$G$33)/'3. HR &amp; Activity'!$C$4</f>
        <v/>
      </c>
      <c r="E38" s="59">
        <f>'Inputs'!$F$100</f>
        <v/>
      </c>
      <c r="H38" s="46">
        <f>D38*E38*(1+'Inputs'!$F$103)</f>
        <v/>
      </c>
    </row>
    <row r="39">
      <c r="B39" s="10" t="inlineStr">
        <is>
          <t>Service &amp; operations (activity-driven)</t>
        </is>
      </c>
      <c r="D39" s="51">
        <f>SUMIF('3. HR &amp; Activity'!$D$11:$D$33,"Service &amp; ops",'3. HR &amp; Activity'!$G$11:$G$33)/'3. HR &amp; Activity'!$C$4</f>
        <v/>
      </c>
      <c r="E39" s="59">
        <f>'Inputs'!$F$101</f>
        <v/>
      </c>
      <c r="H39" s="46">
        <f>D39*E39*(1+'Inputs'!$F$103)</f>
        <v/>
      </c>
    </row>
    <row r="40">
      <c r="B40" s="10" t="inlineStr">
        <is>
          <t>Team managers (span-driven)</t>
        </is>
      </c>
      <c r="D40" s="51">
        <f>('3. HR &amp; Activity'!$D$37+'3. HR &amp; Activity'!$D$38+'3. HR &amp; Activity'!$D$39)/'Inputs'!$F$104</f>
        <v/>
      </c>
      <c r="E40" s="59">
        <f>'Inputs'!$F$102</f>
        <v/>
      </c>
      <c r="H40" s="46">
        <f>D40*E40*(1+'Inputs'!$F$103)</f>
        <v/>
      </c>
    </row>
    <row r="41">
      <c r="B41" s="60" t="inlineStr">
        <is>
          <t>TOTAL OPERATING-UNIT STAFF</t>
        </is>
      </c>
      <c r="D41" s="65">
        <f>'3. HR &amp; Activity'!$D$37+'3. HR &amp; Activity'!$D$38+'3. HR &amp; Activity'!$D$39+'3. HR &amp; Activity'!$D$40</f>
        <v/>
      </c>
      <c r="H41" s="47">
        <f>'3. HR &amp; Activity'!$H$37+'3. HR &amp; Activity'!$H$38+'3. HR &amp; Activity'!$H$39+'3. HR &amp; Activity'!$H$40</f>
        <v/>
      </c>
    </row>
    <row r="43">
      <c r="B43" s="5" t="inlineStr">
        <is>
          <t>Loaded hourly rates spread salary + on-costs over available hours; activity costs therefore reconcile exactly to analyst and service payroll.</t>
        </is>
      </c>
    </row>
    <row r="45">
      <c r="B45" s="7" t="inlineStr">
        <is>
          <t>THE RM SYSTEM — ORIGINATE / STEWARD / DEFEND (three activities, one system)</t>
        </is>
      </c>
      <c r="C45" s="8" t="inlineStr"/>
      <c r="D45" s="8" t="inlineStr"/>
      <c r="E45" s="8" t="inlineStr"/>
      <c r="F45" s="8" t="inlineStr"/>
      <c r="G45" s="8" t="inlineStr"/>
      <c r="H45" s="8" t="inlineStr"/>
    </row>
    <row r="46">
      <c r="B46" s="10" t="inlineStr">
        <is>
          <t>RM time &amp; cost — originate</t>
        </is>
      </c>
      <c r="D46" s="56">
        <f>'Inputs'!$F$163</f>
        <v/>
      </c>
      <c r="H46" s="46">
        <f>'3. HR &amp; Activity'!$H$37*'Inputs'!$F$163</f>
        <v/>
      </c>
    </row>
    <row r="47">
      <c r="B47" s="10" t="inlineStr">
        <is>
          <t>RM time &amp; cost — steward</t>
        </is>
      </c>
      <c r="D47" s="56">
        <f>'Inputs'!$F$164</f>
        <v/>
      </c>
      <c r="H47" s="46">
        <f>'3. HR &amp; Activity'!$H$37*'Inputs'!$F$164</f>
        <v/>
      </c>
    </row>
    <row r="48">
      <c r="B48" s="10" t="inlineStr">
        <is>
          <t>RM time &amp; cost — defend</t>
        </is>
      </c>
      <c r="D48" s="56">
        <f>'Inputs'!$F$165</f>
        <v/>
      </c>
      <c r="H48" s="46">
        <f>'3. HR &amp; Activity'!$H$37*'Inputs'!$F$165</f>
        <v/>
      </c>
    </row>
    <row r="50">
      <c r="B50" s="7" t="inlineStr">
        <is>
          <t>1. ORIGINATE — acquisition cost attributed per origination by relative effort</t>
        </is>
      </c>
      <c r="C50" s="8" t="inlineStr"/>
      <c r="D50" s="8" t="inlineStr"/>
      <c r="E50" s="8" t="inlineStr"/>
      <c r="F50" s="8" t="inlineStr"/>
      <c r="G50" s="8" t="inlineStr"/>
      <c r="H50" s="8" t="inlineStr"/>
    </row>
    <row r="51">
      <c r="B51" s="45" t="inlineStr">
        <is>
          <t>Product</t>
        </is>
      </c>
      <c r="C51" s="45" t="inlineStr"/>
      <c r="D51" s="45" t="inlineStr">
        <is>
          <t>Originations / renewals p.a.</t>
        </is>
      </c>
      <c r="E51" s="45" t="inlineStr">
        <is>
          <t>Effort weight</t>
        </is>
      </c>
      <c r="F51" s="45" t="inlineStr">
        <is>
          <t>Weighted volume</t>
        </is>
      </c>
      <c r="G51" s="45" t="inlineStr">
        <is>
          <t>RM cost attributed (£/yr)</t>
        </is>
      </c>
      <c r="H51" s="45" t="inlineStr">
        <is>
          <t>Cost per unit on book (£/yr)</t>
        </is>
      </c>
    </row>
    <row r="52">
      <c r="B52" s="10" t="inlineStr">
        <is>
          <t>Term loans (new)</t>
        </is>
      </c>
      <c r="D52" s="44">
        <f>'1. Customers'!$C$16/'Inputs'!$F$41</f>
        <v/>
      </c>
      <c r="E52" s="66">
        <f>'Inputs'!$F$159</f>
        <v/>
      </c>
      <c r="F52" s="51">
        <f>D52*E52</f>
        <v/>
      </c>
      <c r="G52" s="46">
        <f>F52/SUM(F52:F55)*'3. HR &amp; Activity'!$H$46</f>
        <v/>
      </c>
      <c r="H52" s="46">
        <f>G52/'1. Customers'!$C$16</f>
        <v/>
      </c>
    </row>
    <row r="53">
      <c r="B53" s="10" t="inlineStr">
        <is>
          <t>Asset finance (new)</t>
        </is>
      </c>
      <c r="D53" s="44">
        <f>'1. Customers'!$C$17/'Inputs'!$F$44</f>
        <v/>
      </c>
      <c r="E53" s="66">
        <f>'Inputs'!$F$160</f>
        <v/>
      </c>
      <c r="F53" s="51">
        <f>D53*E53</f>
        <v/>
      </c>
      <c r="G53" s="46">
        <f>F53/SUM(F52:F55)*'3. HR &amp; Activity'!$H$46</f>
        <v/>
      </c>
      <c r="H53" s="46">
        <f>G53/'1. Customers'!$C$17</f>
        <v/>
      </c>
    </row>
    <row r="54">
      <c r="B54" s="10" t="inlineStr">
        <is>
          <t>Invoice finance (new clients)</t>
        </is>
      </c>
      <c r="D54" s="44">
        <f>'1. Customers'!$C$18/'Inputs'!$F$47</f>
        <v/>
      </c>
      <c r="E54" s="66">
        <f>'Inputs'!$F$161</f>
        <v/>
      </c>
      <c r="F54" s="51">
        <f>D54*E54</f>
        <v/>
      </c>
      <c r="G54" s="46">
        <f>F54/SUM(F52:F55)*'3. HR &amp; Activity'!$H$46</f>
        <v/>
      </c>
      <c r="H54" s="46">
        <f>G54/'1. Customers'!$C$18</f>
        <v/>
      </c>
    </row>
    <row r="55">
      <c r="B55" s="10" t="inlineStr">
        <is>
          <t>Overdrafts (annual renewals)</t>
        </is>
      </c>
      <c r="D55" s="44">
        <f>'1. Customers'!$C$15</f>
        <v/>
      </c>
      <c r="E55" s="66">
        <f>'Inputs'!$F$162</f>
        <v/>
      </c>
      <c r="F55" s="51">
        <f>D55*E55</f>
        <v/>
      </c>
      <c r="G55" s="46">
        <f>F55/SUM(F52:F55)*'3. HR &amp; Activity'!$H$46</f>
        <v/>
      </c>
      <c r="H55" s="46">
        <f>G55/'1. Customers'!$C$15</f>
        <v/>
      </c>
    </row>
    <row r="56">
      <c r="B56" s="60" t="inlineStr">
        <is>
          <t>TOTAL RM ORIGINATION COST ATTRIBUTED</t>
        </is>
      </c>
      <c r="G56" s="47">
        <f>SUM(G52:G55)</f>
        <v/>
      </c>
    </row>
    <row r="57">
      <c r="B57" s="10" t="inlineStr">
        <is>
          <t>RM origination cost per weighted origination</t>
        </is>
      </c>
      <c r="G57" s="46">
        <f>'3. HR &amp; Activity'!$H$46/SUM(F52:F55)</f>
        <v/>
      </c>
      <c r="H57" s="14" t="inlineStr">
        <is>
          <t>The return-on-RM-time yardstick: compare to lifetime contribution of the products sold</t>
        </is>
      </c>
    </row>
    <row r="59">
      <c r="B59" s="7" t="inlineStr">
        <is>
          <t>2. STEWARD — attributed to lending products pro-rata balances; pays back through lower PDs (tab 5)</t>
        </is>
      </c>
      <c r="C59" s="8" t="inlineStr"/>
      <c r="D59" s="8" t="inlineStr"/>
      <c r="E59" s="8" t="inlineStr"/>
      <c r="F59" s="8" t="inlineStr"/>
      <c r="G59" s="8" t="inlineStr"/>
      <c r="H59" s="8" t="inlineStr"/>
    </row>
    <row r="60">
      <c r="B60" s="45" t="inlineStr">
        <is>
          <t>Product</t>
        </is>
      </c>
      <c r="C60" s="45" t="inlineStr"/>
      <c r="D60" s="45" t="inlineStr">
        <is>
          <t>Balances (£)</t>
        </is>
      </c>
      <c r="E60" s="45" t="inlineStr">
        <is>
          <t>Share</t>
        </is>
      </c>
      <c r="F60" s="45" t="inlineStr"/>
      <c r="G60" s="45" t="inlineStr">
        <is>
          <t>Stewardship cost (£/yr)</t>
        </is>
      </c>
      <c r="H60" s="45" t="inlineStr">
        <is>
          <t>Per unit (£/yr)</t>
        </is>
      </c>
    </row>
    <row r="61">
      <c r="B61" s="10" t="inlineStr">
        <is>
          <t>Overdrafts</t>
        </is>
      </c>
      <c r="D61" s="59">
        <f>'1. Customers'!$E$15</f>
        <v/>
      </c>
      <c r="E61" s="48">
        <f>'1. Customers'!$E$15/('1. Customers'!$E$15+'1. Customers'!$E$16+'1. Customers'!$E$17+'1. Customers'!$E$18)</f>
        <v/>
      </c>
      <c r="G61" s="46">
        <f>E61*'3. HR &amp; Activity'!$H$47</f>
        <v/>
      </c>
      <c r="H61" s="46">
        <f>G61/'1. Customers'!$C$15</f>
        <v/>
      </c>
    </row>
    <row r="62">
      <c r="B62" s="10" t="inlineStr">
        <is>
          <t>Term loans</t>
        </is>
      </c>
      <c r="D62" s="59">
        <f>'1. Customers'!$E$16</f>
        <v/>
      </c>
      <c r="E62" s="48">
        <f>'1. Customers'!$E$16/('1. Customers'!$E$15+'1. Customers'!$E$16+'1. Customers'!$E$17+'1. Customers'!$E$18)</f>
        <v/>
      </c>
      <c r="G62" s="46">
        <f>E62*'3. HR &amp; Activity'!$H$47</f>
        <v/>
      </c>
      <c r="H62" s="46">
        <f>G62/'1. Customers'!$C$16</f>
        <v/>
      </c>
    </row>
    <row r="63">
      <c r="B63" s="10" t="inlineStr">
        <is>
          <t>Asset finance</t>
        </is>
      </c>
      <c r="D63" s="59">
        <f>'1. Customers'!$E$17</f>
        <v/>
      </c>
      <c r="E63" s="48">
        <f>'1. Customers'!$E$17/('1. Customers'!$E$15+'1. Customers'!$E$16+'1. Customers'!$E$17+'1. Customers'!$E$18)</f>
        <v/>
      </c>
      <c r="G63" s="46">
        <f>E63*'3. HR &amp; Activity'!$H$47</f>
        <v/>
      </c>
      <c r="H63" s="46">
        <f>G63/'1. Customers'!$C$17</f>
        <v/>
      </c>
    </row>
    <row r="64">
      <c r="B64" s="10" t="inlineStr">
        <is>
          <t>Invoice finance</t>
        </is>
      </c>
      <c r="D64" s="59">
        <f>'1. Customers'!$E$18</f>
        <v/>
      </c>
      <c r="E64" s="48">
        <f>'1. Customers'!$E$18/('1. Customers'!$E$15+'1. Customers'!$E$16+'1. Customers'!$E$17+'1. Customers'!$E$18)</f>
        <v/>
      </c>
      <c r="G64" s="46">
        <f>E64*'3. HR &amp; Activity'!$H$47</f>
        <v/>
      </c>
      <c r="H64" s="46">
        <f>G64/'1. Customers'!$C$18</f>
        <v/>
      </c>
    </row>
    <row r="65">
      <c r="B65" s="10" t="inlineStr">
        <is>
          <t>Memo: expected losses avoided by stewardship (tab 5 PD reduction)</t>
        </is>
      </c>
      <c r="G65" s="46">
        <f>('1. Customers'!$E$15*'Inputs'!$F$77*'Inputs'!$F$78+'1. Customers'!$E$16*'Inputs'!$F$79*'Inputs'!$F$80+'1. Customers'!$E$17*'Inputs'!$F$81*'Inputs'!$F$82+'1. Customers'!$E$18*'Inputs'!$F$83*'Inputs'!$F$84)*'Inputs'!$F$167*'Inputs'!$F$166</f>
        <v/>
      </c>
      <c r="H65" s="14" t="inlineStr">
        <is>
          <t>Compare to stewardship cost above — excludes unpriced benefits (recovery quality, origination signals)</t>
        </is>
      </c>
    </row>
    <row r="67">
      <c r="B67" s="7" t="inlineStr">
        <is>
          <t>3. DEFEND — tested retention spend, held at centre level (not product-allocated)</t>
        </is>
      </c>
      <c r="C67" s="8" t="inlineStr"/>
      <c r="D67" s="8" t="inlineStr"/>
      <c r="E67" s="8" t="inlineStr"/>
      <c r="F67" s="8" t="inlineStr"/>
      <c r="G67" s="8" t="inlineStr"/>
      <c r="H67" s="8" t="inlineStr"/>
    </row>
    <row r="68">
      <c r="B68" s="10" t="inlineStr">
        <is>
          <t>Defence cost (RM time on retention)</t>
        </is>
      </c>
      <c r="G68" s="59">
        <f>'3. HR &amp; Activity'!$H$48</f>
        <v/>
      </c>
    </row>
    <row r="69">
      <c r="B69" s="10" t="inlineStr">
        <is>
          <t>Customers defended per year (churn reduction — validate with holdouts)</t>
        </is>
      </c>
      <c r="G69" s="55">
        <f>'1. Customers'!$C$7</f>
        <v/>
      </c>
    </row>
    <row r="70">
      <c r="B70" s="14" t="inlineStr">
        <is>
          <t>Value of defended relationships: see memo under the bridge on tab 6 (contribution × remaining life)</t>
        </is>
      </c>
    </row>
    <row r="72">
      <c r="B72" s="7" t="inlineStr">
        <is>
          <t>HEAD-OFFICE PROCESS REGISTER (Step 2, cont. — the processes inside the head-office pools)</t>
        </is>
      </c>
      <c r="C72" s="8" t="inlineStr"/>
      <c r="D72" s="8" t="inlineStr"/>
      <c r="E72" s="8" t="inlineStr"/>
      <c r="F72" s="8" t="inlineStr"/>
      <c r="G72" s="8" t="inlineStr"/>
      <c r="H72" s="8" t="inlineStr"/>
      <c r="I72" s="8" t="inlineStr"/>
      <c r="J72" s="8" t="inlineStr"/>
      <c r="K72" s="8" t="inlineStr"/>
      <c r="L72" s="8" t="inlineStr"/>
      <c r="M72" s="8" t="inlineStr"/>
      <c r="N72" s="8" t="inlineStr"/>
      <c r="O72" s="8" t="inlineStr"/>
      <c r="P72" s="8" t="inlineStr"/>
      <c r="Q72" s="8" t="inlineStr"/>
      <c r="R72" s="8" t="inlineStr"/>
      <c r="S72" s="8" t="inlineStr"/>
      <c r="T72" s="8" t="inlineStr"/>
    </row>
    <row r="73" ht="42" customHeight="1">
      <c r="B73" s="5" t="inlineStr">
        <is>
          <t>Every process below is already named in the tab 9 operational model; none had a cost row. NOTE: churn-replacement acquisition marketing is already carved from the corporate pool as cac_new (v1.3) and attributed on tab 4 — the mental-availability row here is for entry-point presence spend NOT already in cac_new, or it double-carves. Five carry the unit costs already in Inputs section G2, so they are live on build. The rest ship with a blank unit cost, contribute nothing, and leave the residual exactly where v1.3 left it. Naming one moves pounds from 'unallocated joint costs' to 'attributed' — the total never moves.</t>
        </is>
      </c>
    </row>
    <row r="74">
      <c r="B74" s="45" t="inlineStr">
        <is>
          <t>Process</t>
        </is>
      </c>
      <c r="C74" s="45" t="inlineStr">
        <is>
          <t>Pool</t>
        </is>
      </c>
      <c r="D74" s="45" t="inlineStr">
        <is>
          <t>Driver</t>
        </is>
      </c>
      <c r="E74" s="45" t="inlineStr">
        <is>
          <t>Driver volume /yr</t>
        </is>
      </c>
      <c r="F74" s="45" t="inlineStr">
        <is>
          <t>Unit cost (£)</t>
        </is>
      </c>
      <c r="H74" s="45" t="inlineStr">
        <is>
          <t>Cost (£/yr)</t>
        </is>
      </c>
      <c r="I74" s="45" t="inlineStr">
        <is>
          <t>Flow (tab 9)</t>
        </is>
      </c>
      <c r="J74" s="45" t="inlineStr">
        <is>
          <t>Accountable owner</t>
        </is>
      </c>
      <c r="K74" s="45" t="inlineStr">
        <is>
          <t>Stage</t>
        </is>
      </c>
      <c r="Q74" s="45" t="inlineStr">
        <is>
          <t>BiC unit cost (£)</t>
        </is>
      </c>
      <c r="S74" s="45" t="inlineStr">
        <is>
          <t>Benchmark source + tier</t>
        </is>
      </c>
      <c r="T74" s="45" t="inlineStr">
        <is>
          <t>£ gap to best in class</t>
        </is>
      </c>
    </row>
    <row r="75">
      <c r="B75" s="4" t="inlineStr">
        <is>
          <t>KYC &amp; financial crime (new-customer onboarding)</t>
        </is>
      </c>
      <c r="C75" s="62" t="inlineStr">
        <is>
          <t>risk</t>
        </is>
      </c>
      <c r="D75" s="14" t="inlineStr">
        <is>
          <t>onboardings</t>
        </is>
      </c>
      <c r="E75" s="44">
        <f>'1. Customers'!$C$8</f>
        <v/>
      </c>
      <c r="F75" s="67">
        <f>'Inputs'!$F$134</f>
        <v/>
      </c>
      <c r="H75" s="46">
        <f>IFERROR(E75*F75,0)</f>
        <v/>
      </c>
      <c r="I75" s="62" t="inlineStr">
        <is>
          <t>CA-WP</t>
        </is>
      </c>
      <c r="J75" s="14" t="inlineStr">
        <is>
          <t>Financial crime ops</t>
        </is>
      </c>
      <c r="K75" s="62" t="inlineStr">
        <is>
          <t>FULFILMENT</t>
        </is>
      </c>
      <c r="Q75" s="32" t="n"/>
      <c r="S75" s="64" t="n"/>
      <c r="T75" s="46">
        <f>IFERROR(IF(OR(Q75="",F75=""),0,E75*(F75-Q75)),0)</f>
        <v/>
      </c>
    </row>
    <row r="76">
      <c r="B76" s="4" t="inlineStr">
        <is>
          <t>KYC refresh &amp; ongoing screening</t>
        </is>
      </c>
      <c r="C76" s="62" t="inlineStr">
        <is>
          <t>risk</t>
        </is>
      </c>
      <c r="D76" s="14" t="inlineStr">
        <is>
          <t>customers</t>
        </is>
      </c>
      <c r="E76" s="44">
        <f>'1. Customers'!$C$4</f>
        <v/>
      </c>
      <c r="F76" s="67">
        <f>'Inputs'!$F$135</f>
        <v/>
      </c>
      <c r="H76" s="46">
        <f>IFERROR(E76*F76,0)</f>
        <v/>
      </c>
      <c r="I76" s="62" t="inlineStr">
        <is>
          <t>S1</t>
        </is>
      </c>
      <c r="J76" s="14" t="inlineStr">
        <is>
          <t>Financial crime ops</t>
        </is>
      </c>
      <c r="K76" s="62" t="inlineStr">
        <is>
          <t>FULFILMENT</t>
        </is>
      </c>
      <c r="Q76" s="32" t="n"/>
      <c r="S76" s="64" t="n"/>
      <c r="T76" s="46">
        <f>IFERROR(IF(OR(Q76="",F76=""),0,E76*(F76-Q76)),0)</f>
        <v/>
      </c>
    </row>
    <row r="77">
      <c r="B77" s="4" t="inlineStr">
        <is>
          <t>Payments operations &amp; processing</t>
        </is>
      </c>
      <c r="C77" s="62" t="inlineStr">
        <is>
          <t>tech</t>
        </is>
      </c>
      <c r="D77" s="14" t="inlineStr">
        <is>
          <t>current accounts</t>
        </is>
      </c>
      <c r="E77" s="44">
        <f>'1. Customers'!$C$12</f>
        <v/>
      </c>
      <c r="F77" s="67">
        <f>'Inputs'!$F$137</f>
        <v/>
      </c>
      <c r="H77" s="46">
        <f>IFERROR(E77*F77,0)</f>
        <v/>
      </c>
      <c r="I77" s="62" t="inlineStr">
        <is>
          <t>CA-PP1</t>
        </is>
      </c>
      <c r="J77" s="14" t="inlineStr">
        <is>
          <t>Payments ops</t>
        </is>
      </c>
      <c r="K77" s="62" t="inlineStr">
        <is>
          <t>FULFILMENT</t>
        </is>
      </c>
      <c r="Q77" s="32" t="n"/>
      <c r="S77" s="64" t="n"/>
      <c r="T77" s="46">
        <f>IFERROR(IF(OR(Q77="",F77=""),0,E77*(F77-Q77)),0)</f>
        <v/>
      </c>
    </row>
    <row r="78">
      <c r="B78" s="4" t="inlineStr">
        <is>
          <t>Core banking system</t>
        </is>
      </c>
      <c r="C78" s="62" t="inlineStr">
        <is>
          <t>tech</t>
        </is>
      </c>
      <c r="D78" s="14" t="inlineStr">
        <is>
          <t>accounts on ledger</t>
        </is>
      </c>
      <c r="E78" s="44">
        <f>'1. Customers'!$C$24</f>
        <v/>
      </c>
      <c r="F78" s="67">
        <f>'Inputs'!$F$138</f>
        <v/>
      </c>
      <c r="H78" s="46">
        <f>IFERROR(E78*F78,0)</f>
        <v/>
      </c>
      <c r="I78" s="62" t="inlineStr">
        <is>
          <t>E1</t>
        </is>
      </c>
      <c r="J78" s="14" t="inlineStr">
        <is>
          <t>Technology</t>
        </is>
      </c>
      <c r="K78" s="62" t="inlineStr">
        <is>
          <t>ENABLING</t>
        </is>
      </c>
      <c r="Q78" s="32" t="n"/>
      <c r="S78" s="64" t="n"/>
      <c r="T78" s="46">
        <f>IFERROR(IF(OR(Q78="",F78=""),0,E78*(F78-Q78)),0)</f>
        <v/>
      </c>
    </row>
    <row r="79">
      <c r="B79" s="4" t="inlineStr">
        <is>
          <t>Credit systems &amp; portfolio monitoring</t>
        </is>
      </c>
      <c r="C79" s="62" t="inlineStr">
        <is>
          <t>tech</t>
        </is>
      </c>
      <c r="D79" s="14" t="inlineStr">
        <is>
          <t>live credit facilities</t>
        </is>
      </c>
      <c r="E79" s="44">
        <f>'1. Customers'!$C$25</f>
        <v/>
      </c>
      <c r="F79" s="67">
        <f>'Inputs'!$F$139</f>
        <v/>
      </c>
      <c r="H79" s="46">
        <f>IFERROR(E79*F79,0)</f>
        <v/>
      </c>
      <c r="I79" s="62" t="inlineStr">
        <is>
          <t>LN-WP</t>
        </is>
      </c>
      <c r="J79" s="14" t="inlineStr">
        <is>
          <t>Credit risk</t>
        </is>
      </c>
      <c r="K79" s="62" t="inlineStr">
        <is>
          <t>FULFILMENT</t>
        </is>
      </c>
      <c r="Q79" s="32" t="n"/>
      <c r="S79" s="64" t="n"/>
      <c r="T79" s="46">
        <f>IFERROR(IF(OR(Q79="",F79=""),0,E79*(F79-Q79)),0)</f>
        <v/>
      </c>
    </row>
    <row r="80">
      <c r="B80" s="4" t="inlineStr">
        <is>
          <t>Party reference data</t>
        </is>
      </c>
      <c r="C80" s="62" t="inlineStr">
        <is>
          <t>tech</t>
        </is>
      </c>
      <c r="D80" s="14" t="inlineStr">
        <is>
          <t>customers</t>
        </is>
      </c>
      <c r="E80" s="44">
        <f>'1. Customers'!$C$4</f>
        <v/>
      </c>
      <c r="F80" s="32" t="n"/>
      <c r="H80" s="46">
        <f>IFERROR(E80*F80,0)</f>
        <v/>
      </c>
      <c r="I80" s="62" t="inlineStr">
        <is>
          <t>I1</t>
        </is>
      </c>
      <c r="J80" s="14" t="inlineStr">
        <is>
          <t>Data management</t>
        </is>
      </c>
      <c r="K80" s="62" t="inlineStr">
        <is>
          <t>ENABLING</t>
        </is>
      </c>
      <c r="Q80" s="32" t="n"/>
      <c r="S80" s="64" t="n"/>
      <c r="T80" s="46">
        <f>IFERROR(IF(OR(Q80="",F80=""),0,E80*(F80-Q80)),0)</f>
        <v/>
      </c>
    </row>
    <row r="81">
      <c r="B81" s="4" t="inlineStr">
        <is>
          <t>Product directory &amp; pricing</t>
        </is>
      </c>
      <c r="C81" s="62" t="inlineStr">
        <is>
          <t>corp</t>
        </is>
      </c>
      <c r="D81" s="14" t="inlineStr">
        <is>
          <t>products x price points</t>
        </is>
      </c>
      <c r="E81" s="44">
        <f>'1. Customers'!$C$4</f>
        <v/>
      </c>
      <c r="F81" s="32" t="n"/>
      <c r="H81" s="46">
        <f>IFERROR(E81*F81,0)</f>
        <v/>
      </c>
      <c r="I81" s="62" t="inlineStr">
        <is>
          <t>I2</t>
        </is>
      </c>
      <c r="J81" s="14" t="inlineStr">
        <is>
          <t>Product management</t>
        </is>
      </c>
      <c r="K81" s="62" t="inlineStr">
        <is>
          <t>DEMAND</t>
        </is>
      </c>
      <c r="Q81" s="32" t="n"/>
      <c r="S81" s="64" t="n"/>
      <c r="T81" s="46">
        <f>IFERROR(IF(OR(Q81="",F81=""),0,E81*(F81-Q81)),0)</f>
        <v/>
      </c>
    </row>
    <row r="82">
      <c r="B82" s="4" t="inlineStr">
        <is>
          <t>Regulatory compliance &amp; reporting</t>
        </is>
      </c>
      <c r="C82" s="62" t="inlineStr">
        <is>
          <t>risk</t>
        </is>
      </c>
      <c r="D82" s="14" t="inlineStr">
        <is>
          <t>customers</t>
        </is>
      </c>
      <c r="E82" s="44">
        <f>'1. Customers'!$C$4</f>
        <v/>
      </c>
      <c r="F82" s="32" t="n"/>
      <c r="H82" s="46">
        <f>IFERROR(E82*F82,0)</f>
        <v/>
      </c>
      <c r="I82" s="62" t="inlineStr">
        <is>
          <t>S2</t>
        </is>
      </c>
      <c r="J82" s="14" t="inlineStr">
        <is>
          <t>Compliance</t>
        </is>
      </c>
      <c r="K82" s="62" t="inlineStr">
        <is>
          <t>ENABLING</t>
        </is>
      </c>
      <c r="Q82" s="32" t="n"/>
      <c r="S82" s="64" t="n"/>
      <c r="T82" s="46">
        <f>IFERROR(IF(OR(Q82="",F82=""),0,E82*(F82-Q82)),0)</f>
        <v/>
      </c>
    </row>
    <row r="83">
      <c r="B83" s="4" t="inlineStr">
        <is>
          <t>Sanctions screening / CDD</t>
        </is>
      </c>
      <c r="C83" s="62" t="inlineStr">
        <is>
          <t>risk</t>
        </is>
      </c>
      <c r="D83" s="14" t="inlineStr">
        <is>
          <t>payments screened</t>
        </is>
      </c>
      <c r="E83" s="44">
        <f>'1. Customers'!$C$20*'Inputs'!$F$55</f>
        <v/>
      </c>
      <c r="F83" s="32" t="n"/>
      <c r="H83" s="46">
        <f>IFERROR(E83*F83,0)</f>
        <v/>
      </c>
      <c r="I83" s="62" t="inlineStr">
        <is>
          <t>S1</t>
        </is>
      </c>
      <c r="J83" s="14" t="inlineStr">
        <is>
          <t>Financial crime ops</t>
        </is>
      </c>
      <c r="K83" s="62" t="inlineStr">
        <is>
          <t>FULFILMENT</t>
        </is>
      </c>
      <c r="Q83" s="32" t="n"/>
      <c r="S83" s="64" t="n"/>
      <c r="T83" s="46">
        <f>IFERROR(IF(OR(Q83="",F83=""),0,E83*(F83-Q83)),0)</f>
        <v/>
      </c>
    </row>
    <row r="84">
      <c r="B84" s="4" t="inlineStr">
        <is>
          <t>Card scheme &amp; merchant relations</t>
        </is>
      </c>
      <c r="C84" s="62" t="inlineStr">
        <is>
          <t>tech</t>
        </is>
      </c>
      <c r="D84" s="14" t="inlineStr">
        <is>
          <t>cards</t>
        </is>
      </c>
      <c r="E84" s="44">
        <f>'1. Customers'!$C$19</f>
        <v/>
      </c>
      <c r="F84" s="32" t="n"/>
      <c r="H84" s="46">
        <f>IFERROR(E84*F84,0)</f>
        <v/>
      </c>
      <c r="I84" s="62" t="inlineStr">
        <is>
          <t>CC-PP1</t>
        </is>
      </c>
      <c r="J84" s="14" t="inlineStr">
        <is>
          <t>Cards</t>
        </is>
      </c>
      <c r="K84" s="62" t="inlineStr">
        <is>
          <t>FULFILMENT</t>
        </is>
      </c>
      <c r="Q84" s="32" t="n"/>
      <c r="S84" s="64" t="n"/>
      <c r="T84" s="46">
        <f>IFERROR(IF(OR(Q84="",F84=""),0,E84*(F84-Q84)),0)</f>
        <v/>
      </c>
    </row>
    <row r="85">
      <c r="B85" s="4" t="inlineStr">
        <is>
          <t>Operational risk</t>
        </is>
      </c>
      <c r="C85" s="62" t="inlineStr">
        <is>
          <t>risk</t>
        </is>
      </c>
      <c r="D85" s="14" t="inlineStr">
        <is>
          <t>customers</t>
        </is>
      </c>
      <c r="E85" s="44">
        <f>'1. Customers'!$C$4</f>
        <v/>
      </c>
      <c r="F85" s="32" t="n"/>
      <c r="H85" s="46">
        <f>IFERROR(E85*F85,0)</f>
        <v/>
      </c>
      <c r="I85" s="62" t="inlineStr">
        <is>
          <t>S4</t>
        </is>
      </c>
      <c r="J85" s="14" t="inlineStr">
        <is>
          <t>Operational risk</t>
        </is>
      </c>
      <c r="K85" s="62" t="inlineStr">
        <is>
          <t>ENABLING</t>
        </is>
      </c>
      <c r="Q85" s="32" t="n"/>
      <c r="S85" s="64" t="n"/>
      <c r="T85" s="46">
        <f>IFERROR(IF(OR(Q85="",F85=""),0,E85*(F85-Q85)),0)</f>
        <v/>
      </c>
    </row>
    <row r="86">
      <c r="B86" s="4" t="inlineStr">
        <is>
          <t>Customer access entitlement / authentication</t>
        </is>
      </c>
      <c r="C86" s="62" t="inlineStr">
        <is>
          <t>tech</t>
        </is>
      </c>
      <c r="D86" s="14" t="inlineStr">
        <is>
          <t>customers</t>
        </is>
      </c>
      <c r="E86" s="44">
        <f>'1. Customers'!$C$4</f>
        <v/>
      </c>
      <c r="F86" s="32" t="n"/>
      <c r="H86" s="46">
        <f>IFERROR(E86*F86,0)</f>
        <v/>
      </c>
      <c r="I86" s="62" t="inlineStr">
        <is>
          <t>E4</t>
        </is>
      </c>
      <c r="J86" s="14" t="inlineStr">
        <is>
          <t>Technology</t>
        </is>
      </c>
      <c r="K86" s="62" t="inlineStr">
        <is>
          <t>ENABLING</t>
        </is>
      </c>
      <c r="Q86" s="32" t="n"/>
      <c r="S86" s="64" t="n"/>
      <c r="T86" s="46">
        <f>IFERROR(IF(OR(Q86="",F86=""),0,E86*(F86-Q86)),0)</f>
        <v/>
      </c>
    </row>
    <row r="87">
      <c r="B87" s="4" t="inlineStr">
        <is>
          <t>Financial message gateway (Open Banking / API)</t>
        </is>
      </c>
      <c r="C87" s="62" t="inlineStr">
        <is>
          <t>tech</t>
        </is>
      </c>
      <c r="D87" s="14" t="inlineStr">
        <is>
          <t>accounts on ledger</t>
        </is>
      </c>
      <c r="E87" s="44">
        <f>'1. Customers'!$C$24</f>
        <v/>
      </c>
      <c r="F87" s="32" t="n"/>
      <c r="H87" s="46">
        <f>IFERROR(E87*F87,0)</f>
        <v/>
      </c>
      <c r="I87" s="62" t="inlineStr">
        <is>
          <t>E2</t>
        </is>
      </c>
      <c r="J87" s="14" t="inlineStr">
        <is>
          <t>Technology</t>
        </is>
      </c>
      <c r="K87" s="62" t="inlineStr">
        <is>
          <t>ENABLING</t>
        </is>
      </c>
      <c r="Q87" s="32" t="n"/>
      <c r="S87" s="64" t="n"/>
      <c r="T87" s="46">
        <f>IFERROR(IF(OR(Q87="",F87=""),0,E87*(F87-Q87)),0)</f>
        <v/>
      </c>
    </row>
    <row r="88">
      <c r="B88" s="4" t="inlineStr">
        <is>
          <t>Document &amp; contract management</t>
        </is>
      </c>
      <c r="C88" s="62" t="inlineStr">
        <is>
          <t>tech</t>
        </is>
      </c>
      <c r="D88" s="14" t="inlineStr">
        <is>
          <t>live credit facilities</t>
        </is>
      </c>
      <c r="E88" s="44">
        <f>'1. Customers'!$C$25</f>
        <v/>
      </c>
      <c r="F88" s="32" t="n"/>
      <c r="H88" s="46">
        <f>IFERROR(E88*F88,0)</f>
        <v/>
      </c>
      <c r="I88" s="62" t="inlineStr">
        <is>
          <t>E3</t>
        </is>
      </c>
      <c r="J88" s="14" t="inlineStr">
        <is>
          <t>Technology</t>
        </is>
      </c>
      <c r="K88" s="62" t="inlineStr">
        <is>
          <t>ENABLING</t>
        </is>
      </c>
      <c r="Q88" s="32" t="n"/>
      <c r="S88" s="64" t="n"/>
      <c r="T88" s="46">
        <f>IFERROR(IF(OR(Q88="",F88=""),0,E88*(F88-Q88)),0)</f>
        <v/>
      </c>
    </row>
    <row r="89">
      <c r="B89" s="4" t="inlineStr">
        <is>
          <t>Reconciliation</t>
        </is>
      </c>
      <c r="C89" s="62" t="inlineStr">
        <is>
          <t>tech</t>
        </is>
      </c>
      <c r="D89" s="14" t="inlineStr">
        <is>
          <t>accounts on ledger</t>
        </is>
      </c>
      <c r="E89" s="44">
        <f>'1. Customers'!$C$24</f>
        <v/>
      </c>
      <c r="F89" s="32" t="n"/>
      <c r="H89" s="46">
        <f>IFERROR(E89*F89,0)</f>
        <v/>
      </c>
      <c r="I89" s="62" t="inlineStr">
        <is>
          <t>I3</t>
        </is>
      </c>
      <c r="J89" s="14" t="inlineStr">
        <is>
          <t>Finance ops</t>
        </is>
      </c>
      <c r="K89" s="62" t="inlineStr">
        <is>
          <t>ENABLING</t>
        </is>
      </c>
      <c r="Q89" s="32" t="n"/>
      <c r="S89" s="64" t="n"/>
      <c r="T89" s="46">
        <f>IFERROR(IF(OR(Q89="",F89=""),0,E89*(F89-Q89)),0)</f>
        <v/>
      </c>
    </row>
    <row r="90">
      <c r="B90" s="4" t="inlineStr">
        <is>
          <t>Position keeping (nostro / vostro)</t>
        </is>
      </c>
      <c r="C90" s="62" t="inlineStr">
        <is>
          <t>tech</t>
        </is>
      </c>
      <c r="D90" s="14" t="inlineStr">
        <is>
          <t>international payments</t>
        </is>
      </c>
      <c r="E90" s="44">
        <f>'1. Customers'!$C$20*'Inputs'!$F$55</f>
        <v/>
      </c>
      <c r="F90" s="32" t="n"/>
      <c r="H90" s="46">
        <f>IFERROR(E90*F90,0)</f>
        <v/>
      </c>
      <c r="I90" s="62" t="inlineStr">
        <is>
          <t>PX-PP1</t>
        </is>
      </c>
      <c r="J90" s="14" t="inlineStr">
        <is>
          <t>Treasury</t>
        </is>
      </c>
      <c r="K90" s="62" t="inlineStr">
        <is>
          <t>FULFILMENT</t>
        </is>
      </c>
      <c r="Q90" s="32" t="n"/>
      <c r="S90" s="64" t="n"/>
      <c r="T90" s="46">
        <f>IFERROR(IF(OR(Q90="",F90=""),0,E90*(F90-Q90)),0)</f>
        <v/>
      </c>
    </row>
    <row r="91">
      <c r="B91" s="4" t="inlineStr">
        <is>
          <t>Corporate treasury / ALM</t>
        </is>
      </c>
      <c r="C91" s="62" t="inlineStr">
        <is>
          <t>corp</t>
        </is>
      </c>
      <c r="D91" s="14" t="inlineStr">
        <is>
          <t>total balances</t>
        </is>
      </c>
      <c r="E91" s="44">
        <f>'1. Customers'!$E$21/1000000</f>
        <v/>
      </c>
      <c r="F91" s="32" t="n"/>
      <c r="H91" s="46">
        <f>IFERROR(E91*F91,0)</f>
        <v/>
      </c>
      <c r="I91" s="62" t="inlineStr">
        <is>
          <t>S3</t>
        </is>
      </c>
      <c r="J91" s="14" t="inlineStr">
        <is>
          <t>Treasury</t>
        </is>
      </c>
      <c r="K91" s="62" t="inlineStr">
        <is>
          <t>ENABLING</t>
        </is>
      </c>
      <c r="Q91" s="32" t="n"/>
      <c r="S91" s="64" t="n"/>
      <c r="T91" s="46">
        <f>IFERROR(IF(OR(Q91="",F91=""),0,E91*(F91-Q91)),0)</f>
        <v/>
      </c>
    </row>
    <row r="92">
      <c r="B92" s="4" t="inlineStr">
        <is>
          <t>Finance / general ledger</t>
        </is>
      </c>
      <c r="C92" s="62" t="inlineStr">
        <is>
          <t>corp</t>
        </is>
      </c>
      <c r="D92" s="14" t="inlineStr">
        <is>
          <t>customers</t>
        </is>
      </c>
      <c r="E92" s="44">
        <f>'1. Customers'!$C$4</f>
        <v/>
      </c>
      <c r="F92" s="32" t="n"/>
      <c r="H92" s="46">
        <f>IFERROR(E92*F92,0)</f>
        <v/>
      </c>
      <c r="I92" s="62" t="inlineStr">
        <is>
          <t>S2</t>
        </is>
      </c>
      <c r="J92" s="14" t="inlineStr">
        <is>
          <t>Finance</t>
        </is>
      </c>
      <c r="K92" s="62" t="inlineStr">
        <is>
          <t>ENABLING</t>
        </is>
      </c>
      <c r="Q92" s="32" t="n"/>
      <c r="S92" s="64" t="n"/>
      <c r="T92" s="46">
        <f>IFERROR(IF(OR(Q92="",F92=""),0,E92*(F92-Q92)),0)</f>
        <v/>
      </c>
    </row>
    <row r="93">
      <c r="B93" s="4" t="inlineStr">
        <is>
          <t>Fraud resolution</t>
        </is>
      </c>
      <c r="C93" s="62" t="inlineStr">
        <is>
          <t>risk</t>
        </is>
      </c>
      <c r="D93" s="14" t="inlineStr">
        <is>
          <t>current accounts</t>
        </is>
      </c>
      <c r="E93" s="44">
        <f>'1. Customers'!$C$12</f>
        <v/>
      </c>
      <c r="F93" s="32" t="n"/>
      <c r="H93" s="46">
        <f>IFERROR(E93*F93,0)</f>
        <v/>
      </c>
      <c r="I93" s="62" t="inlineStr">
        <is>
          <t>CA-WP</t>
        </is>
      </c>
      <c r="J93" s="14" t="inlineStr">
        <is>
          <t>Fraud ops</t>
        </is>
      </c>
      <c r="K93" s="62" t="inlineStr">
        <is>
          <t>FULFILMENT</t>
        </is>
      </c>
      <c r="Q93" s="32" t="n"/>
      <c r="S93" s="64" t="n"/>
      <c r="T93" s="46">
        <f>IFERROR(IF(OR(Q93="",F93=""),0,E93*(F93-Q93)),0)</f>
        <v/>
      </c>
    </row>
    <row r="94">
      <c r="B94" s="4" t="inlineStr">
        <is>
          <t>Correspondence / notifications</t>
        </is>
      </c>
      <c r="C94" s="62" t="inlineStr">
        <is>
          <t>tech</t>
        </is>
      </c>
      <c r="D94" s="14" t="inlineStr">
        <is>
          <t>customers</t>
        </is>
      </c>
      <c r="E94" s="44">
        <f>'1. Customers'!$C$4</f>
        <v/>
      </c>
      <c r="F94" s="32" t="n"/>
      <c r="H94" s="46">
        <f>IFERROR(E94*F94,0)</f>
        <v/>
      </c>
      <c r="I94" s="62" t="inlineStr">
        <is>
          <t>CP1</t>
        </is>
      </c>
      <c r="J94" s="14" t="inlineStr">
        <is>
          <t>Service &amp; ops</t>
        </is>
      </c>
      <c r="K94" s="62" t="inlineStr">
        <is>
          <t>FULFILMENT</t>
        </is>
      </c>
      <c r="Q94" s="32" t="n"/>
      <c r="S94" s="64" t="n"/>
      <c r="T94" s="46">
        <f>IFERROR(IF(OR(Q94="",F94=""),0,E94*(F94-Q94)),0)</f>
        <v/>
      </c>
    </row>
    <row r="95">
      <c r="B95" s="4" t="inlineStr">
        <is>
          <t>Detection rules for cross-holding entry points (CEP B1/B3/B9/B11/B12)</t>
        </is>
      </c>
      <c r="C95" s="62" t="inlineStr">
        <is>
          <t>tech</t>
        </is>
      </c>
      <c r="D95" s="14" t="inlineStr">
        <is>
          <t>customers</t>
        </is>
      </c>
      <c r="E95" s="44">
        <f>'1. Customers'!$C$4</f>
        <v/>
      </c>
      <c r="F95" s="32" t="n"/>
      <c r="H95" s="46">
        <f>IFERROR(E95*F95,0)</f>
        <v/>
      </c>
      <c r="I95" s="62" t="inlineStr">
        <is>
          <t>I1</t>
        </is>
      </c>
      <c r="J95" s="14" t="inlineStr">
        <is>
          <t>Data management</t>
        </is>
      </c>
      <c r="K95" s="62" t="inlineStr">
        <is>
          <t>DEMAND</t>
        </is>
      </c>
      <c r="Q95" s="32" t="n"/>
      <c r="S95" s="64" t="n"/>
      <c r="T95" s="46">
        <f>IFERROR(IF(OR(Q95="",F95=""),0,E95*(F95-Q95)),0)</f>
        <v/>
      </c>
    </row>
    <row r="96">
      <c r="B96" s="4" t="inlineStr">
        <is>
          <t>Mental-availability spend at entry points NOT already in cac_new (CEP A1/A3/A4)</t>
        </is>
      </c>
      <c r="C96" s="62" t="inlineStr">
        <is>
          <t>corp</t>
        </is>
      </c>
      <c r="D96" s="14" t="inlineStr">
        <is>
          <t>catchment businesses</t>
        </is>
      </c>
      <c r="E96" s="44">
        <f>'Inputs'!$F$21</f>
        <v/>
      </c>
      <c r="F96" s="32" t="n"/>
      <c r="H96" s="46">
        <f>IFERROR(E96*F96,0)</f>
        <v/>
      </c>
      <c r="I96" s="62" t="inlineStr">
        <is>
          <t>CP1</t>
        </is>
      </c>
      <c r="J96" s="14" t="inlineStr">
        <is>
          <t>Marketing</t>
        </is>
      </c>
      <c r="K96" s="62" t="inlineStr">
        <is>
          <t>DEMAND</t>
        </is>
      </c>
      <c r="Q96" s="32" t="n"/>
      <c r="S96" s="64" t="n"/>
      <c r="T96" s="46">
        <f>IFERROR(IF(OR(Q96="",F96=""),0,E96*(F96-Q96)),0)</f>
        <v/>
      </c>
    </row>
    <row r="97">
      <c r="B97" s="42" t="inlineStr">
        <is>
          <t>TOTAL NAMED HEAD-OFFICE PROCESS COST</t>
        </is>
      </c>
      <c r="H97" s="47">
        <f>SUM(H75:H96)</f>
        <v/>
      </c>
      <c r="T97" s="47">
        <f>SUM(T75:T96)</f>
        <v/>
      </c>
    </row>
    <row r="98">
      <c r="B98" s="14" t="inlineStr">
        <is>
          <t>…of which technology pool</t>
        </is>
      </c>
      <c r="H98" s="46">
        <f>SUMIF('3. HR &amp; Activity'!$C$75:$C$96,"tech",'3. HR &amp; Activity'!$H$75:$H$96)</f>
        <v/>
      </c>
    </row>
    <row r="99">
      <c r="B99" s="14" t="inlineStr">
        <is>
          <t>…of which risk pool</t>
        </is>
      </c>
      <c r="H99" s="46">
        <f>SUMIF('3. HR &amp; Activity'!$C$75:$C$96,"risk",'3. HR &amp; Activity'!$H$75:$H$96)</f>
        <v/>
      </c>
    </row>
    <row r="100">
      <c r="B100" s="14" t="inlineStr">
        <is>
          <t>…of which corporate pool</t>
        </is>
      </c>
      <c r="H100" s="46">
        <f>SUMIF('3. HR &amp; Activity'!$C$75:$C$96,"corp",'3. HR &amp; Activity'!$H$75:$H$96)</f>
        <v/>
      </c>
    </row>
    <row r="101">
      <c r="B101" s="42" t="inlineStr">
        <is>
          <t>Activity-block gap to best in class (operating unit)</t>
        </is>
      </c>
      <c r="T101" s="47">
        <f>SUM(T11:T33)</f>
        <v/>
      </c>
    </row>
  </sheetData>
  <mergeCells count="1">
    <mergeCell ref="B43:H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S75"/>
  <sheetViews>
    <sheetView workbookViewId="0">
      <pane ySplit="3" topLeftCell="A4" activePane="bottomLeft" state="frozen"/>
      <selection pane="bottomLeft" activeCell="A1" sqref="A1"/>
    </sheetView>
  </sheetViews>
  <sheetFormatPr baseColWidth="8" defaultRowHeight="15"/>
  <cols>
    <col width="2" customWidth="1" min="1" max="1"/>
    <col width="52" customWidth="1" min="2" max="2"/>
    <col width="14" customWidth="1" min="3" max="3"/>
    <col width="12" customWidth="1" min="4" max="4"/>
    <col width="13" customWidth="1" min="5" max="5"/>
    <col width="16" customWidth="1" min="6" max="6"/>
    <col width="22" customWidth="1" min="7" max="7"/>
    <col width="16" customWidth="1" min="8" max="8"/>
    <col width="16" customWidth="1" min="9" max="9"/>
  </cols>
  <sheetData>
    <row r="1">
      <c r="B1" s="1" t="inlineStr">
        <is>
          <t>PROCESS INDEX — WHICH PROCESS MOVES WHICH NUMBER</t>
        </is>
      </c>
    </row>
    <row r="2" ht="44" customHeight="1">
      <c r="B2" s="5" t="inlineStr">
        <is>
          <t>Derived view. No assumptions live here. Every process in the model, with the flow it belongs to, the number it moves, its cost, and its gap to best in class. Filter the 'moves' column to answer 'what do I improve to change this number?'. Grouping is by the flow and product tags the model already carries, not by hand-maintained cell references — tags are load-bearing, cell references rot.</t>
        </is>
      </c>
    </row>
    <row r="4">
      <c r="B4" s="45" t="inlineStr">
        <is>
          <t>Process</t>
        </is>
      </c>
      <c r="C4" s="45" t="inlineStr">
        <is>
          <t>Block</t>
        </is>
      </c>
      <c r="D4" s="45" t="inlineStr">
        <is>
          <t>Product</t>
        </is>
      </c>
      <c r="E4" s="45" t="inlineStr">
        <is>
          <t>Flow</t>
        </is>
      </c>
      <c r="F4" s="45" t="inlineStr">
        <is>
          <t>Accountable owner</t>
        </is>
      </c>
      <c r="G4" s="45" t="inlineStr">
        <is>
          <t>Moves these numbers</t>
        </is>
      </c>
      <c r="H4" s="45" t="inlineStr">
        <is>
          <t>Cost (£/yr)</t>
        </is>
      </c>
      <c r="I4" s="45" t="inlineStr">
        <is>
          <t>£ gap to BiC</t>
        </is>
      </c>
    </row>
    <row r="5">
      <c r="B5" s="4" t="inlineStr">
        <is>
          <t>Customer onboarding (KYC/AML, account setup)</t>
        </is>
      </c>
      <c r="C5" s="62" t="inlineStr">
        <is>
          <t>operating unit</t>
        </is>
      </c>
      <c r="D5" s="62" t="inlineStr">
        <is>
          <t>bca</t>
        </is>
      </c>
      <c r="E5" s="62" t="inlineStr">
        <is>
          <t>CA-WP</t>
        </is>
      </c>
      <c r="F5" s="49">
        <f>'3. HR &amp; Activity'!$D$11</f>
        <v/>
      </c>
      <c r="G5" s="5" t="inlineStr">
        <is>
          <t>BCA volumes · payments income · fraud cost</t>
        </is>
      </c>
      <c r="H5" s="59">
        <f>'3. HR &amp; Activity'!$H$11</f>
        <v/>
      </c>
      <c r="I5" s="59">
        <f>'3. HR &amp; Activity'!$T$11</f>
        <v/>
      </c>
    </row>
    <row r="6">
      <c r="B6" s="4" t="inlineStr">
        <is>
          <t>Current account servicing</t>
        </is>
      </c>
      <c r="C6" s="62" t="inlineStr">
        <is>
          <t>operating unit</t>
        </is>
      </c>
      <c r="D6" s="62" t="inlineStr">
        <is>
          <t>bca</t>
        </is>
      </c>
      <c r="E6" s="62" t="inlineStr">
        <is>
          <t>CA-WP</t>
        </is>
      </c>
      <c r="F6" s="49">
        <f>'3. HR &amp; Activity'!$D$12</f>
        <v/>
      </c>
      <c r="G6" s="5" t="inlineStr">
        <is>
          <t>BCA volumes · payments income · fraud cost</t>
        </is>
      </c>
      <c r="H6" s="59">
        <f>'3. HR &amp; Activity'!$H$12</f>
        <v/>
      </c>
      <c r="I6" s="59">
        <f>'3. HR &amp; Activity'!$T$12</f>
        <v/>
      </c>
    </row>
    <row r="7">
      <c r="B7" s="4" t="inlineStr">
        <is>
          <t>Savings servicing</t>
        </is>
      </c>
      <c r="C7" s="62" t="inlineStr">
        <is>
          <t>operating unit</t>
        </is>
      </c>
      <c r="D7" s="62" t="inlineStr">
        <is>
          <t>sav</t>
        </is>
      </c>
      <c r="E7" s="62" t="inlineStr">
        <is>
          <t>SV-WP</t>
        </is>
      </c>
      <c r="F7" s="49">
        <f>'3. HR &amp; Activity'!$D$13</f>
        <v/>
      </c>
      <c r="G7" s="5" t="inlineStr">
        <is>
          <t>Savings balances · deposit NII</t>
        </is>
      </c>
      <c r="H7" s="59">
        <f>'3. HR &amp; Activity'!$H$13</f>
        <v/>
      </c>
      <c r="I7" s="59">
        <f>'3. HR &amp; Activity'!$T$13</f>
        <v/>
      </c>
    </row>
    <row r="8">
      <c r="B8" s="4" t="inlineStr">
        <is>
          <t>Deposit servicing</t>
        </is>
      </c>
      <c r="C8" s="62" t="inlineStr">
        <is>
          <t>operating unit</t>
        </is>
      </c>
      <c r="D8" s="62" t="inlineStr">
        <is>
          <t>dep</t>
        </is>
      </c>
      <c r="E8" s="62" t="inlineStr">
        <is>
          <t>SV-WP</t>
        </is>
      </c>
      <c r="F8" s="49">
        <f>'3. HR &amp; Activity'!$D$14</f>
        <v/>
      </c>
      <c r="G8" s="5" t="inlineStr">
        <is>
          <t>Term deposit balances · deposit NII</t>
        </is>
      </c>
      <c r="H8" s="59">
        <f>'3. HR &amp; Activity'!$H$14</f>
        <v/>
      </c>
      <c r="I8" s="59">
        <f>'3. HR &amp; Activity'!$T$14</f>
        <v/>
      </c>
    </row>
    <row r="9">
      <c r="B9" s="4" t="inlineStr">
        <is>
          <t>Overdraft reviews &amp; renewals</t>
        </is>
      </c>
      <c r="C9" s="62" t="inlineStr">
        <is>
          <t>operating unit</t>
        </is>
      </c>
      <c r="D9" s="62" t="inlineStr">
        <is>
          <t>od</t>
        </is>
      </c>
      <c r="E9" s="62" t="inlineStr">
        <is>
          <t>LN-WP</t>
        </is>
      </c>
      <c r="F9" s="49">
        <f>'3. HR &amp; Activity'!$D$15</f>
        <v/>
      </c>
      <c r="G9" s="5" t="inlineStr">
        <is>
          <t>Overdraft balances · overdraft income · cost of risk</t>
        </is>
      </c>
      <c r="H9" s="59">
        <f>'3. HR &amp; Activity'!$H$15</f>
        <v/>
      </c>
      <c r="I9" s="59">
        <f>'3. HR &amp; Activity'!$T$15</f>
        <v/>
      </c>
    </row>
    <row r="10">
      <c r="B10" s="4" t="inlineStr">
        <is>
          <t>Term loan underwriting (new loans)</t>
        </is>
      </c>
      <c r="C10" s="62" t="inlineStr">
        <is>
          <t>operating unit</t>
        </is>
      </c>
      <c r="D10" s="62" t="inlineStr">
        <is>
          <t>loan</t>
        </is>
      </c>
      <c r="E10" s="62" t="inlineStr">
        <is>
          <t>LN-WP</t>
        </is>
      </c>
      <c r="F10" s="49">
        <f>'3. HR &amp; Activity'!$D$16</f>
        <v/>
      </c>
      <c r="G10" s="5" t="inlineStr">
        <is>
          <t>Loan balances · loan NII · cost of risk · RWA</t>
        </is>
      </c>
      <c r="H10" s="59">
        <f>'3. HR &amp; Activity'!$H$16</f>
        <v/>
      </c>
      <c r="I10" s="59">
        <f>'3. HR &amp; Activity'!$T$16</f>
        <v/>
      </c>
    </row>
    <row r="11">
      <c r="B11" s="4" t="inlineStr">
        <is>
          <t>Term loan annual reviews</t>
        </is>
      </c>
      <c r="C11" s="62" t="inlineStr">
        <is>
          <t>operating unit</t>
        </is>
      </c>
      <c r="D11" s="62" t="inlineStr">
        <is>
          <t>loan</t>
        </is>
      </c>
      <c r="E11" s="62" t="inlineStr">
        <is>
          <t>LN-WP</t>
        </is>
      </c>
      <c r="F11" s="49">
        <f>'3. HR &amp; Activity'!$D$17</f>
        <v/>
      </c>
      <c r="G11" s="5" t="inlineStr">
        <is>
          <t>Loan balances · loan NII · cost of risk · RWA</t>
        </is>
      </c>
      <c r="H11" s="59">
        <f>'3. HR &amp; Activity'!$H$17</f>
        <v/>
      </c>
      <c r="I11" s="59">
        <f>'3. HR &amp; Activity'!$T$17</f>
        <v/>
      </c>
    </row>
    <row r="12">
      <c r="B12" s="4" t="inlineStr">
        <is>
          <t>Asset finance origination</t>
        </is>
      </c>
      <c r="C12" s="62" t="inlineStr">
        <is>
          <t>operating unit</t>
        </is>
      </c>
      <c r="D12" s="62" t="inlineStr">
        <is>
          <t>af</t>
        </is>
      </c>
      <c r="E12" s="62" t="inlineStr">
        <is>
          <t>LN-WP</t>
        </is>
      </c>
      <c r="F12" s="49">
        <f>'3. HR &amp; Activity'!$D$18</f>
        <v/>
      </c>
      <c r="G12" s="5" t="inlineStr">
        <is>
          <t>Asset finance balances · AF yield · RWA</t>
        </is>
      </c>
      <c r="H12" s="59">
        <f>'3. HR &amp; Activity'!$H$18</f>
        <v/>
      </c>
      <c r="I12" s="59">
        <f>'3. HR &amp; Activity'!$T$18</f>
        <v/>
      </c>
    </row>
    <row r="13">
      <c r="B13" s="4" t="inlineStr">
        <is>
          <t>Invoice finance client onboarding</t>
        </is>
      </c>
      <c r="C13" s="62" t="inlineStr">
        <is>
          <t>operating unit</t>
        </is>
      </c>
      <c r="D13" s="62" t="inlineStr">
        <is>
          <t>inv</t>
        </is>
      </c>
      <c r="E13" s="62" t="inlineStr">
        <is>
          <t>LN-WP</t>
        </is>
      </c>
      <c r="F13" s="49">
        <f>'3. HR &amp; Activity'!$D$19</f>
        <v/>
      </c>
      <c r="G13" s="5" t="inlineStr">
        <is>
          <t>Invoice finance funds in use · discount + service fees</t>
        </is>
      </c>
      <c r="H13" s="59">
        <f>'3. HR &amp; Activity'!$H$19</f>
        <v/>
      </c>
      <c r="I13" s="59">
        <f>'3. HR &amp; Activity'!$T$19</f>
        <v/>
      </c>
    </row>
    <row r="14">
      <c r="B14" s="4" t="inlineStr">
        <is>
          <t>Invoice finance monitoring</t>
        </is>
      </c>
      <c r="C14" s="62" t="inlineStr">
        <is>
          <t>operating unit</t>
        </is>
      </c>
      <c r="D14" s="62" t="inlineStr">
        <is>
          <t>inv</t>
        </is>
      </c>
      <c r="E14" s="62" t="inlineStr">
        <is>
          <t>LN-WP</t>
        </is>
      </c>
      <c r="F14" s="49">
        <f>'3. HR &amp; Activity'!$D$20</f>
        <v/>
      </c>
      <c r="G14" s="5" t="inlineStr">
        <is>
          <t>Invoice finance funds in use · discount + service fees</t>
        </is>
      </c>
      <c r="H14" s="59">
        <f>'3. HR &amp; Activity'!$H$20</f>
        <v/>
      </c>
      <c r="I14" s="59">
        <f>'3. HR &amp; Activity'!$T$20</f>
        <v/>
      </c>
    </row>
    <row r="15">
      <c r="B15" s="4" t="inlineStr">
        <is>
          <t>Card servicing</t>
        </is>
      </c>
      <c r="C15" s="62" t="inlineStr">
        <is>
          <t>operating unit</t>
        </is>
      </c>
      <c r="D15" s="62" t="inlineStr">
        <is>
          <t>card</t>
        </is>
      </c>
      <c r="E15" s="62" t="inlineStr">
        <is>
          <t>CC-WP</t>
        </is>
      </c>
      <c r="F15" s="49">
        <f>'3. HR &amp; Activity'!$D$21</f>
        <v/>
      </c>
      <c r="G15" s="5" t="inlineStr">
        <is>
          <t>Card balances · interchange · card fees</t>
        </is>
      </c>
      <c r="H15" s="59">
        <f>'3. HR &amp; Activity'!$H$21</f>
        <v/>
      </c>
      <c r="I15" s="59">
        <f>'3. HR &amp; Activity'!$T$21</f>
        <v/>
      </c>
    </row>
    <row r="16">
      <c r="B16" s="4" t="inlineStr">
        <is>
          <t>Payments &amp; FX support</t>
        </is>
      </c>
      <c r="C16" s="62" t="inlineStr">
        <is>
          <t>operating unit</t>
        </is>
      </c>
      <c r="D16" s="62" t="inlineStr">
        <is>
          <t>fx</t>
        </is>
      </c>
      <c r="E16" s="62" t="inlineStr">
        <is>
          <t>PX-WP</t>
        </is>
      </c>
      <c r="F16" s="49">
        <f>'3. HR &amp; Activity'!$D$22</f>
        <v/>
      </c>
      <c r="G16" s="5" t="inlineStr">
        <is>
          <t>FX volume · FX margin · payment fees</t>
        </is>
      </c>
      <c r="H16" s="59">
        <f>'3. HR &amp; Activity'!$H$22</f>
        <v/>
      </c>
      <c r="I16" s="59">
        <f>'3. HR &amp; Activity'!$T$22</f>
        <v/>
      </c>
    </row>
    <row r="17">
      <c r="B17" s="4" t="inlineStr">
        <is>
          <t>Collections — overdrafts</t>
        </is>
      </c>
      <c r="C17" s="62" t="inlineStr">
        <is>
          <t>operating unit</t>
        </is>
      </c>
      <c r="D17" s="62" t="inlineStr">
        <is>
          <t>od</t>
        </is>
      </c>
      <c r="E17" s="62" t="inlineStr">
        <is>
          <t>LN-WP</t>
        </is>
      </c>
      <c r="F17" s="49">
        <f>'3. HR &amp; Activity'!$D$23</f>
        <v/>
      </c>
      <c r="G17" s="5" t="inlineStr">
        <is>
          <t>Overdraft balances · overdraft income · cost of risk</t>
        </is>
      </c>
      <c r="H17" s="59">
        <f>'3. HR &amp; Activity'!$H$23</f>
        <v/>
      </c>
      <c r="I17" s="59">
        <f>'3. HR &amp; Activity'!$T$23</f>
        <v/>
      </c>
    </row>
    <row r="18">
      <c r="B18" s="4" t="inlineStr">
        <is>
          <t>Collections — term loans</t>
        </is>
      </c>
      <c r="C18" s="62" t="inlineStr">
        <is>
          <t>operating unit</t>
        </is>
      </c>
      <c r="D18" s="62" t="inlineStr">
        <is>
          <t>loan</t>
        </is>
      </c>
      <c r="E18" s="62" t="inlineStr">
        <is>
          <t>LN-WP</t>
        </is>
      </c>
      <c r="F18" s="49">
        <f>'3. HR &amp; Activity'!$D$24</f>
        <v/>
      </c>
      <c r="G18" s="5" t="inlineStr">
        <is>
          <t>Loan balances · loan NII · cost of risk · RWA</t>
        </is>
      </c>
      <c r="H18" s="59">
        <f>'3. HR &amp; Activity'!$H$24</f>
        <v/>
      </c>
      <c r="I18" s="59">
        <f>'3. HR &amp; Activity'!$T$24</f>
        <v/>
      </c>
    </row>
    <row r="19">
      <c r="B19" s="4" t="inlineStr">
        <is>
          <t>Collections — asset finance</t>
        </is>
      </c>
      <c r="C19" s="62" t="inlineStr">
        <is>
          <t>operating unit</t>
        </is>
      </c>
      <c r="D19" s="62" t="inlineStr">
        <is>
          <t>af</t>
        </is>
      </c>
      <c r="E19" s="62" t="inlineStr">
        <is>
          <t>LN-WP</t>
        </is>
      </c>
      <c r="F19" s="49">
        <f>'3. HR &amp; Activity'!$D$25</f>
        <v/>
      </c>
      <c r="G19" s="5" t="inlineStr">
        <is>
          <t>Asset finance balances · AF yield · RWA</t>
        </is>
      </c>
      <c r="H19" s="59">
        <f>'3. HR &amp; Activity'!$H$25</f>
        <v/>
      </c>
      <c r="I19" s="59">
        <f>'3. HR &amp; Activity'!$T$25</f>
        <v/>
      </c>
    </row>
    <row r="20">
      <c r="B20" s="4" t="inlineStr">
        <is>
          <t>Collections — invoice finance</t>
        </is>
      </c>
      <c r="C20" s="62" t="inlineStr">
        <is>
          <t>operating unit</t>
        </is>
      </c>
      <c r="D20" s="62" t="inlineStr">
        <is>
          <t>inv</t>
        </is>
      </c>
      <c r="E20" s="62" t="inlineStr">
        <is>
          <t>LN-WP</t>
        </is>
      </c>
      <c r="F20" s="49">
        <f>'3. HR &amp; Activity'!$D$26</f>
        <v/>
      </c>
      <c r="G20" s="5" t="inlineStr">
        <is>
          <t>Invoice finance funds in use · discount + service fees</t>
        </is>
      </c>
      <c r="H20" s="59">
        <f>'3. HR &amp; Activity'!$H$26</f>
        <v/>
      </c>
      <c r="I20" s="59">
        <f>'3. HR &amp; Activity'!$T$26</f>
        <v/>
      </c>
    </row>
    <row r="21">
      <c r="B21" s="4" t="inlineStr">
        <is>
          <t>Collections — cards</t>
        </is>
      </c>
      <c r="C21" s="62" t="inlineStr">
        <is>
          <t>operating unit</t>
        </is>
      </c>
      <c r="D21" s="62" t="inlineStr">
        <is>
          <t>card</t>
        </is>
      </c>
      <c r="E21" s="62" t="inlineStr">
        <is>
          <t>CC-WP</t>
        </is>
      </c>
      <c r="F21" s="49">
        <f>'3. HR &amp; Activity'!$D$27</f>
        <v/>
      </c>
      <c r="G21" s="5" t="inlineStr">
        <is>
          <t>Card balances · interchange · card fees</t>
        </is>
      </c>
      <c r="H21" s="59">
        <f>'3. HR &amp; Activity'!$H$27</f>
        <v/>
      </c>
      <c r="I21" s="59">
        <f>'3. HR &amp; Activity'!$T$27</f>
        <v/>
      </c>
    </row>
    <row r="22">
      <c r="B22" s="4" t="inlineStr">
        <is>
          <t>Collateral administration — term loans</t>
        </is>
      </c>
      <c r="C22" s="62" t="inlineStr">
        <is>
          <t>operating unit</t>
        </is>
      </c>
      <c r="D22" s="62" t="inlineStr">
        <is>
          <t>loan</t>
        </is>
      </c>
      <c r="E22" s="62" t="inlineStr">
        <is>
          <t>LN-WP</t>
        </is>
      </c>
      <c r="F22" s="49">
        <f>'3. HR &amp; Activity'!$D$28</f>
        <v/>
      </c>
      <c r="G22" s="5" t="inlineStr">
        <is>
          <t>Loan balances · loan NII · cost of risk · RWA</t>
        </is>
      </c>
      <c r="H22" s="59">
        <f>'3. HR &amp; Activity'!$H$28</f>
        <v/>
      </c>
      <c r="I22" s="59">
        <f>'3. HR &amp; Activity'!$T$28</f>
        <v/>
      </c>
    </row>
    <row r="23">
      <c r="B23" s="4" t="inlineStr">
        <is>
          <t>Collateral administration — asset finance</t>
        </is>
      </c>
      <c r="C23" s="62" t="inlineStr">
        <is>
          <t>operating unit</t>
        </is>
      </c>
      <c r="D23" s="62" t="inlineStr">
        <is>
          <t>af</t>
        </is>
      </c>
      <c r="E23" s="62" t="inlineStr">
        <is>
          <t>LN-WP</t>
        </is>
      </c>
      <c r="F23" s="49">
        <f>'3. HR &amp; Activity'!$D$29</f>
        <v/>
      </c>
      <c r="G23" s="5" t="inlineStr">
        <is>
          <t>Asset finance balances · AF yield · RWA</t>
        </is>
      </c>
      <c r="H23" s="59">
        <f>'3. HR &amp; Activity'!$H$29</f>
        <v/>
      </c>
      <c r="I23" s="59">
        <f>'3. HR &amp; Activity'!$T$29</f>
        <v/>
      </c>
    </row>
    <row r="24">
      <c r="B24" s="4" t="inlineStr">
        <is>
          <t>Collateral administration — invoice finance</t>
        </is>
      </c>
      <c r="C24" s="62" t="inlineStr">
        <is>
          <t>operating unit</t>
        </is>
      </c>
      <c r="D24" s="62" t="inlineStr">
        <is>
          <t>inv</t>
        </is>
      </c>
      <c r="E24" s="62" t="inlineStr">
        <is>
          <t>LN-WP</t>
        </is>
      </c>
      <c r="F24" s="49">
        <f>'3. HR &amp; Activity'!$D$30</f>
        <v/>
      </c>
      <c r="G24" s="5" t="inlineStr">
        <is>
          <t>Invoice finance funds in use · discount + service fees</t>
        </is>
      </c>
      <c r="H24" s="59">
        <f>'3. HR &amp; Activity'!$H$30</f>
        <v/>
      </c>
      <c r="I24" s="59">
        <f>'3. HR &amp; Activity'!$T$30</f>
        <v/>
      </c>
    </row>
    <row r="25">
      <c r="B25" s="4" t="inlineStr">
        <is>
          <t>Recoveries &amp; workout — term loans</t>
        </is>
      </c>
      <c r="C25" s="62" t="inlineStr">
        <is>
          <t>operating unit</t>
        </is>
      </c>
      <c r="D25" s="62" t="inlineStr">
        <is>
          <t>loan</t>
        </is>
      </c>
      <c r="E25" s="62" t="inlineStr">
        <is>
          <t>LN-WP</t>
        </is>
      </c>
      <c r="F25" s="49">
        <f>'3. HR &amp; Activity'!$D$31</f>
        <v/>
      </c>
      <c r="G25" s="5" t="inlineStr">
        <is>
          <t>Loan balances · loan NII · cost of risk · RWA</t>
        </is>
      </c>
      <c r="H25" s="59">
        <f>'3. HR &amp; Activity'!$H$31</f>
        <v/>
      </c>
      <c r="I25" s="59">
        <f>'3. HR &amp; Activity'!$T$31</f>
        <v/>
      </c>
    </row>
    <row r="26">
      <c r="B26" s="4" t="inlineStr">
        <is>
          <t>Recoveries &amp; workout — asset finance</t>
        </is>
      </c>
      <c r="C26" s="62" t="inlineStr">
        <is>
          <t>operating unit</t>
        </is>
      </c>
      <c r="D26" s="62" t="inlineStr">
        <is>
          <t>af</t>
        </is>
      </c>
      <c r="E26" s="62" t="inlineStr">
        <is>
          <t>LN-WP</t>
        </is>
      </c>
      <c r="F26" s="49">
        <f>'3. HR &amp; Activity'!$D$32</f>
        <v/>
      </c>
      <c r="G26" s="5" t="inlineStr">
        <is>
          <t>Asset finance balances · AF yield · RWA</t>
        </is>
      </c>
      <c r="H26" s="59">
        <f>'3. HR &amp; Activity'!$H$32</f>
        <v/>
      </c>
      <c r="I26" s="59">
        <f>'3. HR &amp; Activity'!$T$32</f>
        <v/>
      </c>
    </row>
    <row r="27">
      <c r="B27" s="4" t="inlineStr">
        <is>
          <t>Recoveries &amp; workout — invoice finance</t>
        </is>
      </c>
      <c r="C27" s="62" t="inlineStr">
        <is>
          <t>operating unit</t>
        </is>
      </c>
      <c r="D27" s="62" t="inlineStr">
        <is>
          <t>inv</t>
        </is>
      </c>
      <c r="E27" s="62" t="inlineStr">
        <is>
          <t>LN-WP</t>
        </is>
      </c>
      <c r="F27" s="49">
        <f>'3. HR &amp; Activity'!$D$33</f>
        <v/>
      </c>
      <c r="G27" s="5" t="inlineStr">
        <is>
          <t>Invoice finance funds in use · discount + service fees</t>
        </is>
      </c>
      <c r="H27" s="59">
        <f>'3. HR &amp; Activity'!$H$33</f>
        <v/>
      </c>
      <c r="I27" s="59">
        <f>'3. HR &amp; Activity'!$T$33</f>
        <v/>
      </c>
    </row>
    <row r="28">
      <c r="B28" s="4" t="inlineStr">
        <is>
          <t>KYC &amp; financial crime (new-customer onboarding)</t>
        </is>
      </c>
      <c r="C28" s="62" t="inlineStr">
        <is>
          <t>head office</t>
        </is>
      </c>
      <c r="D28" s="62" t="inlineStr">
        <is>
          <t>risk</t>
        </is>
      </c>
      <c r="E28" s="62" t="inlineStr">
        <is>
          <t>CA-WP</t>
        </is>
      </c>
      <c r="F28" s="14" t="inlineStr">
        <is>
          <t>Financial crime ops</t>
        </is>
      </c>
      <c r="G28" s="5" t="inlineStr">
        <is>
          <t>Cost:income · operating cost per customer</t>
        </is>
      </c>
      <c r="H28" s="59">
        <f>'3. HR &amp; Activity'!$H$75</f>
        <v/>
      </c>
      <c r="I28" s="59">
        <f>'3. HR &amp; Activity'!$T$75</f>
        <v/>
      </c>
    </row>
    <row r="29">
      <c r="B29" s="4" t="inlineStr">
        <is>
          <t>KYC refresh &amp; ongoing screening</t>
        </is>
      </c>
      <c r="C29" s="62" t="inlineStr">
        <is>
          <t>head office</t>
        </is>
      </c>
      <c r="D29" s="62" t="inlineStr">
        <is>
          <t>risk</t>
        </is>
      </c>
      <c r="E29" s="62" t="inlineStr">
        <is>
          <t>S1</t>
        </is>
      </c>
      <c r="F29" s="14" t="inlineStr">
        <is>
          <t>Financial crime ops</t>
        </is>
      </c>
      <c r="G29" s="5" t="inlineStr">
        <is>
          <t>Cost:income · operating cost per customer</t>
        </is>
      </c>
      <c r="H29" s="59">
        <f>'3. HR &amp; Activity'!$H$76</f>
        <v/>
      </c>
      <c r="I29" s="59">
        <f>'3. HR &amp; Activity'!$T$76</f>
        <v/>
      </c>
    </row>
    <row r="30">
      <c r="B30" s="4" t="inlineStr">
        <is>
          <t>Payments operations &amp; processing</t>
        </is>
      </c>
      <c r="C30" s="62" t="inlineStr">
        <is>
          <t>head office</t>
        </is>
      </c>
      <c r="D30" s="62" t="inlineStr">
        <is>
          <t>tech</t>
        </is>
      </c>
      <c r="E30" s="62" t="inlineStr">
        <is>
          <t>CA-PP1</t>
        </is>
      </c>
      <c r="F30" s="14" t="inlineStr">
        <is>
          <t>Payments ops</t>
        </is>
      </c>
      <c r="G30" s="5" t="inlineStr">
        <is>
          <t>Cost:income · operating cost per customer</t>
        </is>
      </c>
      <c r="H30" s="59">
        <f>'3. HR &amp; Activity'!$H$77</f>
        <v/>
      </c>
      <c r="I30" s="59">
        <f>'3. HR &amp; Activity'!$T$77</f>
        <v/>
      </c>
    </row>
    <row r="31">
      <c r="B31" s="4" t="inlineStr">
        <is>
          <t>Core banking system</t>
        </is>
      </c>
      <c r="C31" s="62" t="inlineStr">
        <is>
          <t>head office</t>
        </is>
      </c>
      <c r="D31" s="62" t="inlineStr">
        <is>
          <t>tech</t>
        </is>
      </c>
      <c r="E31" s="62" t="inlineStr">
        <is>
          <t>E1</t>
        </is>
      </c>
      <c r="F31" s="14" t="inlineStr">
        <is>
          <t>Technology</t>
        </is>
      </c>
      <c r="G31" s="5" t="inlineStr">
        <is>
          <t>Cost:income · operating cost per customer</t>
        </is>
      </c>
      <c r="H31" s="59">
        <f>'3. HR &amp; Activity'!$H$78</f>
        <v/>
      </c>
      <c r="I31" s="59">
        <f>'3. HR &amp; Activity'!$T$78</f>
        <v/>
      </c>
    </row>
    <row r="32">
      <c r="B32" s="4" t="inlineStr">
        <is>
          <t>Credit systems &amp; portfolio monitoring</t>
        </is>
      </c>
      <c r="C32" s="62" t="inlineStr">
        <is>
          <t>head office</t>
        </is>
      </c>
      <c r="D32" s="62" t="inlineStr">
        <is>
          <t>tech</t>
        </is>
      </c>
      <c r="E32" s="62" t="inlineStr">
        <is>
          <t>LN-WP</t>
        </is>
      </c>
      <c r="F32" s="14" t="inlineStr">
        <is>
          <t>Credit risk</t>
        </is>
      </c>
      <c r="G32" s="5" t="inlineStr">
        <is>
          <t>Cost:income · operating cost per customer</t>
        </is>
      </c>
      <c r="H32" s="59">
        <f>'3. HR &amp; Activity'!$H$79</f>
        <v/>
      </c>
      <c r="I32" s="59">
        <f>'3. HR &amp; Activity'!$T$79</f>
        <v/>
      </c>
    </row>
    <row r="33">
      <c r="B33" s="4" t="inlineStr">
        <is>
          <t>Party reference data</t>
        </is>
      </c>
      <c r="C33" s="62" t="inlineStr">
        <is>
          <t>head office</t>
        </is>
      </c>
      <c r="D33" s="62" t="inlineStr">
        <is>
          <t>tech</t>
        </is>
      </c>
      <c r="E33" s="62" t="inlineStr">
        <is>
          <t>I1</t>
        </is>
      </c>
      <c r="F33" s="14" t="inlineStr">
        <is>
          <t>Data management</t>
        </is>
      </c>
      <c r="G33" s="5" t="inlineStr">
        <is>
          <t>Cost:income · operating cost per customer</t>
        </is>
      </c>
      <c r="H33" s="59">
        <f>'3. HR &amp; Activity'!$H$80</f>
        <v/>
      </c>
      <c r="I33" s="59">
        <f>'3. HR &amp; Activity'!$T$80</f>
        <v/>
      </c>
    </row>
    <row r="34">
      <c r="B34" s="4" t="inlineStr">
        <is>
          <t>Product directory &amp; pricing</t>
        </is>
      </c>
      <c r="C34" s="62" t="inlineStr">
        <is>
          <t>head office</t>
        </is>
      </c>
      <c r="D34" s="62" t="inlineStr">
        <is>
          <t>corp</t>
        </is>
      </c>
      <c r="E34" s="62" t="inlineStr">
        <is>
          <t>I2</t>
        </is>
      </c>
      <c r="F34" s="14" t="inlineStr">
        <is>
          <t>Product management</t>
        </is>
      </c>
      <c r="G34" s="5" t="inlineStr">
        <is>
          <t>Cost:income · operating cost per customer · acquisition</t>
        </is>
      </c>
      <c r="H34" s="59">
        <f>'3. HR &amp; Activity'!$H$81</f>
        <v/>
      </c>
      <c r="I34" s="59">
        <f>'3. HR &amp; Activity'!$T$81</f>
        <v/>
      </c>
    </row>
    <row r="35">
      <c r="B35" s="4" t="inlineStr">
        <is>
          <t>Regulatory compliance &amp; reporting</t>
        </is>
      </c>
      <c r="C35" s="62" t="inlineStr">
        <is>
          <t>head office</t>
        </is>
      </c>
      <c r="D35" s="62" t="inlineStr">
        <is>
          <t>risk</t>
        </is>
      </c>
      <c r="E35" s="62" t="inlineStr">
        <is>
          <t>S2</t>
        </is>
      </c>
      <c r="F35" s="14" t="inlineStr">
        <is>
          <t>Compliance</t>
        </is>
      </c>
      <c r="G35" s="5" t="inlineStr">
        <is>
          <t>Cost:income · operating cost per customer</t>
        </is>
      </c>
      <c r="H35" s="59">
        <f>'3. HR &amp; Activity'!$H$82</f>
        <v/>
      </c>
      <c r="I35" s="59">
        <f>'3. HR &amp; Activity'!$T$82</f>
        <v/>
      </c>
    </row>
    <row r="36">
      <c r="B36" s="4" t="inlineStr">
        <is>
          <t>Sanctions screening / CDD</t>
        </is>
      </c>
      <c r="C36" s="62" t="inlineStr">
        <is>
          <t>head office</t>
        </is>
      </c>
      <c r="D36" s="62" t="inlineStr">
        <is>
          <t>risk</t>
        </is>
      </c>
      <c r="E36" s="62" t="inlineStr">
        <is>
          <t>S1</t>
        </is>
      </c>
      <c r="F36" s="14" t="inlineStr">
        <is>
          <t>Financial crime ops</t>
        </is>
      </c>
      <c r="G36" s="5" t="inlineStr">
        <is>
          <t>Cost:income · operating cost per customer</t>
        </is>
      </c>
      <c r="H36" s="59">
        <f>'3. HR &amp; Activity'!$H$83</f>
        <v/>
      </c>
      <c r="I36" s="59">
        <f>'3. HR &amp; Activity'!$T$83</f>
        <v/>
      </c>
    </row>
    <row r="37">
      <c r="B37" s="4" t="inlineStr">
        <is>
          <t>Card scheme &amp; merchant relations</t>
        </is>
      </c>
      <c r="C37" s="62" t="inlineStr">
        <is>
          <t>head office</t>
        </is>
      </c>
      <c r="D37" s="62" t="inlineStr">
        <is>
          <t>tech</t>
        </is>
      </c>
      <c r="E37" s="62" t="inlineStr">
        <is>
          <t>CC-PP1</t>
        </is>
      </c>
      <c r="F37" s="14" t="inlineStr">
        <is>
          <t>Cards</t>
        </is>
      </c>
      <c r="G37" s="5" t="inlineStr">
        <is>
          <t>Cost:income · operating cost per customer</t>
        </is>
      </c>
      <c r="H37" s="59">
        <f>'3. HR &amp; Activity'!$H$84</f>
        <v/>
      </c>
      <c r="I37" s="59">
        <f>'3. HR &amp; Activity'!$T$84</f>
        <v/>
      </c>
    </row>
    <row r="38">
      <c r="B38" s="4" t="inlineStr">
        <is>
          <t>Operational risk</t>
        </is>
      </c>
      <c r="C38" s="62" t="inlineStr">
        <is>
          <t>head office</t>
        </is>
      </c>
      <c r="D38" s="62" t="inlineStr">
        <is>
          <t>risk</t>
        </is>
      </c>
      <c r="E38" s="62" t="inlineStr">
        <is>
          <t>S4</t>
        </is>
      </c>
      <c r="F38" s="14" t="inlineStr">
        <is>
          <t>Operational risk</t>
        </is>
      </c>
      <c r="G38" s="5" t="inlineStr">
        <is>
          <t>Cost:income · operating cost per customer</t>
        </is>
      </c>
      <c r="H38" s="59">
        <f>'3. HR &amp; Activity'!$H$85</f>
        <v/>
      </c>
      <c r="I38" s="59">
        <f>'3. HR &amp; Activity'!$T$85</f>
        <v/>
      </c>
    </row>
    <row r="39">
      <c r="B39" s="4" t="inlineStr">
        <is>
          <t>Customer access entitlement / authentication</t>
        </is>
      </c>
      <c r="C39" s="62" t="inlineStr">
        <is>
          <t>head office</t>
        </is>
      </c>
      <c r="D39" s="62" t="inlineStr">
        <is>
          <t>tech</t>
        </is>
      </c>
      <c r="E39" s="62" t="inlineStr">
        <is>
          <t>E4</t>
        </is>
      </c>
      <c r="F39" s="14" t="inlineStr">
        <is>
          <t>Technology</t>
        </is>
      </c>
      <c r="G39" s="5" t="inlineStr">
        <is>
          <t>Cost:income · operating cost per customer</t>
        </is>
      </c>
      <c r="H39" s="59">
        <f>'3. HR &amp; Activity'!$H$86</f>
        <v/>
      </c>
      <c r="I39" s="59">
        <f>'3. HR &amp; Activity'!$T$86</f>
        <v/>
      </c>
    </row>
    <row r="40">
      <c r="B40" s="4" t="inlineStr">
        <is>
          <t>Financial message gateway (Open Banking / API)</t>
        </is>
      </c>
      <c r="C40" s="62" t="inlineStr">
        <is>
          <t>head office</t>
        </is>
      </c>
      <c r="D40" s="62" t="inlineStr">
        <is>
          <t>tech</t>
        </is>
      </c>
      <c r="E40" s="62" t="inlineStr">
        <is>
          <t>E2</t>
        </is>
      </c>
      <c r="F40" s="14" t="inlineStr">
        <is>
          <t>Technology</t>
        </is>
      </c>
      <c r="G40" s="5" t="inlineStr">
        <is>
          <t>Cost:income · operating cost per customer</t>
        </is>
      </c>
      <c r="H40" s="59">
        <f>'3. HR &amp; Activity'!$H$87</f>
        <v/>
      </c>
      <c r="I40" s="59">
        <f>'3. HR &amp; Activity'!$T$87</f>
        <v/>
      </c>
    </row>
    <row r="41">
      <c r="B41" s="4" t="inlineStr">
        <is>
          <t>Document &amp; contract management</t>
        </is>
      </c>
      <c r="C41" s="62" t="inlineStr">
        <is>
          <t>head office</t>
        </is>
      </c>
      <c r="D41" s="62" t="inlineStr">
        <is>
          <t>tech</t>
        </is>
      </c>
      <c r="E41" s="62" t="inlineStr">
        <is>
          <t>E3</t>
        </is>
      </c>
      <c r="F41" s="14" t="inlineStr">
        <is>
          <t>Technology</t>
        </is>
      </c>
      <c r="G41" s="5" t="inlineStr">
        <is>
          <t>Cost:income · operating cost per customer</t>
        </is>
      </c>
      <c r="H41" s="59">
        <f>'3. HR &amp; Activity'!$H$88</f>
        <v/>
      </c>
      <c r="I41" s="59">
        <f>'3. HR &amp; Activity'!$T$88</f>
        <v/>
      </c>
    </row>
    <row r="42">
      <c r="B42" s="4" t="inlineStr">
        <is>
          <t>Reconciliation</t>
        </is>
      </c>
      <c r="C42" s="62" t="inlineStr">
        <is>
          <t>head office</t>
        </is>
      </c>
      <c r="D42" s="62" t="inlineStr">
        <is>
          <t>tech</t>
        </is>
      </c>
      <c r="E42" s="62" t="inlineStr">
        <is>
          <t>I3</t>
        </is>
      </c>
      <c r="F42" s="14" t="inlineStr">
        <is>
          <t>Finance ops</t>
        </is>
      </c>
      <c r="G42" s="5" t="inlineStr">
        <is>
          <t>Cost:income · operating cost per customer</t>
        </is>
      </c>
      <c r="H42" s="59">
        <f>'3. HR &amp; Activity'!$H$89</f>
        <v/>
      </c>
      <c r="I42" s="59">
        <f>'3. HR &amp; Activity'!$T$89</f>
        <v/>
      </c>
    </row>
    <row r="43">
      <c r="B43" s="4" t="inlineStr">
        <is>
          <t>Position keeping (nostro / vostro)</t>
        </is>
      </c>
      <c r="C43" s="62" t="inlineStr">
        <is>
          <t>head office</t>
        </is>
      </c>
      <c r="D43" s="62" t="inlineStr">
        <is>
          <t>tech</t>
        </is>
      </c>
      <c r="E43" s="62" t="inlineStr">
        <is>
          <t>PX-PP1</t>
        </is>
      </c>
      <c r="F43" s="14" t="inlineStr">
        <is>
          <t>Treasury</t>
        </is>
      </c>
      <c r="G43" s="5" t="inlineStr">
        <is>
          <t>Cost:income · operating cost per customer</t>
        </is>
      </c>
      <c r="H43" s="59">
        <f>'3. HR &amp; Activity'!$H$90</f>
        <v/>
      </c>
      <c r="I43" s="59">
        <f>'3. HR &amp; Activity'!$T$90</f>
        <v/>
      </c>
    </row>
    <row r="44">
      <c r="B44" s="4" t="inlineStr">
        <is>
          <t>Corporate treasury / ALM</t>
        </is>
      </c>
      <c r="C44" s="62" t="inlineStr">
        <is>
          <t>head office</t>
        </is>
      </c>
      <c r="D44" s="62" t="inlineStr">
        <is>
          <t>corp</t>
        </is>
      </c>
      <c r="E44" s="62" t="inlineStr">
        <is>
          <t>S3</t>
        </is>
      </c>
      <c r="F44" s="14" t="inlineStr">
        <is>
          <t>Treasury</t>
        </is>
      </c>
      <c r="G44" s="5" t="inlineStr">
        <is>
          <t>Cost:income · operating cost per customer</t>
        </is>
      </c>
      <c r="H44" s="59">
        <f>'3. HR &amp; Activity'!$H$91</f>
        <v/>
      </c>
      <c r="I44" s="59">
        <f>'3. HR &amp; Activity'!$T$91</f>
        <v/>
      </c>
    </row>
    <row r="45">
      <c r="B45" s="4" t="inlineStr">
        <is>
          <t>Finance / general ledger</t>
        </is>
      </c>
      <c r="C45" s="62" t="inlineStr">
        <is>
          <t>head office</t>
        </is>
      </c>
      <c r="D45" s="62" t="inlineStr">
        <is>
          <t>corp</t>
        </is>
      </c>
      <c r="E45" s="62" t="inlineStr">
        <is>
          <t>S2</t>
        </is>
      </c>
      <c r="F45" s="14" t="inlineStr">
        <is>
          <t>Finance</t>
        </is>
      </c>
      <c r="G45" s="5" t="inlineStr">
        <is>
          <t>Cost:income · operating cost per customer</t>
        </is>
      </c>
      <c r="H45" s="59">
        <f>'3. HR &amp; Activity'!$H$92</f>
        <v/>
      </c>
      <c r="I45" s="59">
        <f>'3. HR &amp; Activity'!$T$92</f>
        <v/>
      </c>
    </row>
    <row r="46">
      <c r="B46" s="4" t="inlineStr">
        <is>
          <t>Fraud resolution</t>
        </is>
      </c>
      <c r="C46" s="62" t="inlineStr">
        <is>
          <t>head office</t>
        </is>
      </c>
      <c r="D46" s="62" t="inlineStr">
        <is>
          <t>risk</t>
        </is>
      </c>
      <c r="E46" s="62" t="inlineStr">
        <is>
          <t>CA-WP</t>
        </is>
      </c>
      <c r="F46" s="14" t="inlineStr">
        <is>
          <t>Fraud ops</t>
        </is>
      </c>
      <c r="G46" s="5" t="inlineStr">
        <is>
          <t>Cost:income · operating cost per customer</t>
        </is>
      </c>
      <c r="H46" s="59">
        <f>'3. HR &amp; Activity'!$H$93</f>
        <v/>
      </c>
      <c r="I46" s="59">
        <f>'3. HR &amp; Activity'!$T$93</f>
        <v/>
      </c>
    </row>
    <row r="47">
      <c r="B47" s="4" t="inlineStr">
        <is>
          <t>Correspondence / notifications</t>
        </is>
      </c>
      <c r="C47" s="62" t="inlineStr">
        <is>
          <t>head office</t>
        </is>
      </c>
      <c r="D47" s="62" t="inlineStr">
        <is>
          <t>tech</t>
        </is>
      </c>
      <c r="E47" s="62" t="inlineStr">
        <is>
          <t>CP1</t>
        </is>
      </c>
      <c r="F47" s="14" t="inlineStr">
        <is>
          <t>Service &amp; ops</t>
        </is>
      </c>
      <c r="G47" s="5" t="inlineStr">
        <is>
          <t>Cost:income · operating cost per customer</t>
        </is>
      </c>
      <c r="H47" s="59">
        <f>'3. HR &amp; Activity'!$H$94</f>
        <v/>
      </c>
      <c r="I47" s="59">
        <f>'3. HR &amp; Activity'!$T$94</f>
        <v/>
      </c>
    </row>
    <row r="48">
      <c r="B48" s="4" t="inlineStr">
        <is>
          <t>Detection rules for cross-holding entry points (CEP B1/B3/B9/B11/B12)</t>
        </is>
      </c>
      <c r="C48" s="62" t="inlineStr">
        <is>
          <t>head office</t>
        </is>
      </c>
      <c r="D48" s="62" t="inlineStr">
        <is>
          <t>tech</t>
        </is>
      </c>
      <c r="E48" s="62" t="inlineStr">
        <is>
          <t>I1</t>
        </is>
      </c>
      <c r="F48" s="14" t="inlineStr">
        <is>
          <t>Data management</t>
        </is>
      </c>
      <c r="G48" s="5" t="inlineStr">
        <is>
          <t>Cost:income · operating cost per customer · acquisition</t>
        </is>
      </c>
      <c r="H48" s="59">
        <f>'3. HR &amp; Activity'!$H$95</f>
        <v/>
      </c>
      <c r="I48" s="59">
        <f>'3. HR &amp; Activity'!$T$95</f>
        <v/>
      </c>
    </row>
    <row r="49">
      <c r="B49" s="4" t="inlineStr">
        <is>
          <t>Mental-availability spend at entry points NOT already in cac_new (CEP A1/A3/A4)</t>
        </is>
      </c>
      <c r="C49" s="62" t="inlineStr">
        <is>
          <t>head office</t>
        </is>
      </c>
      <c r="D49" s="62" t="inlineStr">
        <is>
          <t>corp</t>
        </is>
      </c>
      <c r="E49" s="62" t="inlineStr">
        <is>
          <t>CP1</t>
        </is>
      </c>
      <c r="F49" s="14" t="inlineStr">
        <is>
          <t>Marketing</t>
        </is>
      </c>
      <c r="G49" s="5" t="inlineStr">
        <is>
          <t>Cost:income · operating cost per customer · acquisition</t>
        </is>
      </c>
      <c r="H49" s="59">
        <f>'3. HR &amp; Activity'!$H$96</f>
        <v/>
      </c>
      <c r="I49" s="59">
        <f>'3. HR &amp; Activity'!$T$96</f>
        <v/>
      </c>
    </row>
    <row r="51">
      <c r="B51" s="7" t="inlineStr">
        <is>
          <t>RANKED — LARGEST GAP TO BEST IN CLASS</t>
        </is>
      </c>
      <c r="C51" s="8" t="inlineStr"/>
      <c r="D51" s="8" t="inlineStr"/>
      <c r="E51" s="8" t="inlineStr"/>
      <c r="F51" s="8" t="inlineStr"/>
      <c r="G51" s="8" t="inlineStr"/>
      <c r="H51" s="8" t="inlineStr"/>
      <c r="I51" s="8" t="inlineStr"/>
    </row>
    <row r="52">
      <c r="B52" s="14" t="inlineStr">
        <is>
          <t>Empty until benchmark cells are populated on tab 3. That is the intended shipping state.</t>
        </is>
      </c>
    </row>
    <row r="53">
      <c r="B53" s="9" t="inlineStr">
        <is>
          <t>Rank</t>
        </is>
      </c>
      <c r="C53" s="9" t="inlineStr">
        <is>
          <t>Process</t>
        </is>
      </c>
      <c r="I53" s="9" t="inlineStr">
        <is>
          <t>£ gap to BiC</t>
        </is>
      </c>
    </row>
    <row r="54">
      <c r="B54" s="10" t="n">
        <v>1</v>
      </c>
      <c r="C54" s="10">
        <f>IFERROR(IF(LARGE($I$5:$I$49,1)&lt;=0,"—",INDEX($B$5:$B$49,MATCH(LARGE($I$5:$I$49,1),$I$5:$I$49,0))),"—")</f>
        <v/>
      </c>
      <c r="I54" s="46">
        <f>IFERROR(IF(LARGE($I$5:$I$49,1)&lt;=0,"",LARGE($I$5:$I$49,1)),"")</f>
        <v/>
      </c>
    </row>
    <row r="55">
      <c r="B55" s="10" t="n">
        <v>2</v>
      </c>
      <c r="C55" s="10">
        <f>IFERROR(IF(LARGE($I$5:$I$49,2)&lt;=0,"—",INDEX($B$5:$B$49,MATCH(LARGE($I$5:$I$49,2),$I$5:$I$49,0))),"—")</f>
        <v/>
      </c>
      <c r="I55" s="46">
        <f>IFERROR(IF(LARGE($I$5:$I$49,2)&lt;=0,"",LARGE($I$5:$I$49,2)),"")</f>
        <v/>
      </c>
    </row>
    <row r="56">
      <c r="B56" s="10" t="n">
        <v>3</v>
      </c>
      <c r="C56" s="10">
        <f>IFERROR(IF(LARGE($I$5:$I$49,3)&lt;=0,"—",INDEX($B$5:$B$49,MATCH(LARGE($I$5:$I$49,3),$I$5:$I$49,0))),"—")</f>
        <v/>
      </c>
      <c r="I56" s="46">
        <f>IFERROR(IF(LARGE($I$5:$I$49,3)&lt;=0,"",LARGE($I$5:$I$49,3)),"")</f>
        <v/>
      </c>
    </row>
    <row r="57">
      <c r="B57" s="10" t="n">
        <v>4</v>
      </c>
      <c r="C57" s="10">
        <f>IFERROR(IF(LARGE($I$5:$I$49,4)&lt;=0,"—",INDEX($B$5:$B$49,MATCH(LARGE($I$5:$I$49,4),$I$5:$I$49,0))),"—")</f>
        <v/>
      </c>
      <c r="I57" s="46">
        <f>IFERROR(IF(LARGE($I$5:$I$49,4)&lt;=0,"",LARGE($I$5:$I$49,4)),"")</f>
        <v/>
      </c>
    </row>
    <row r="58">
      <c r="B58" s="10" t="n">
        <v>5</v>
      </c>
      <c r="C58" s="10">
        <f>IFERROR(IF(LARGE($I$5:$I$49,5)&lt;=0,"—",INDEX($B$5:$B$49,MATCH(LARGE($I$5:$I$49,5),$I$5:$I$49,0))),"—")</f>
        <v/>
      </c>
      <c r="I58" s="46">
        <f>IFERROR(IF(LARGE($I$5:$I$49,5)&lt;=0,"",LARGE($I$5:$I$49,5)),"")</f>
        <v/>
      </c>
    </row>
    <row r="59">
      <c r="B59" s="10" t="n">
        <v>6</v>
      </c>
      <c r="C59" s="10">
        <f>IFERROR(IF(LARGE($I$5:$I$49,6)&lt;=0,"—",INDEX($B$5:$B$49,MATCH(LARGE($I$5:$I$49,6),$I$5:$I$49,0))),"—")</f>
        <v/>
      </c>
      <c r="I59" s="46">
        <f>IFERROR(IF(LARGE($I$5:$I$49,6)&lt;=0,"",LARGE($I$5:$I$49,6)),"")</f>
        <v/>
      </c>
    </row>
    <row r="60">
      <c r="B60" s="10" t="n">
        <v>7</v>
      </c>
      <c r="C60" s="10">
        <f>IFERROR(IF(LARGE($I$5:$I$49,7)&lt;=0,"—",INDEX($B$5:$B$49,MATCH(LARGE($I$5:$I$49,7),$I$5:$I$49,0))),"—")</f>
        <v/>
      </c>
      <c r="I60" s="46">
        <f>IFERROR(IF(LARGE($I$5:$I$49,7)&lt;=0,"",LARGE($I$5:$I$49,7)),"")</f>
        <v/>
      </c>
    </row>
    <row r="61">
      <c r="B61" s="10" t="n">
        <v>8</v>
      </c>
      <c r="C61" s="10">
        <f>IFERROR(IF(LARGE($I$5:$I$49,8)&lt;=0,"—",INDEX($B$5:$B$49,MATCH(LARGE($I$5:$I$49,8),$I$5:$I$49,0))),"—")</f>
        <v/>
      </c>
      <c r="I61" s="46">
        <f>IFERROR(IF(LARGE($I$5:$I$49,8)&lt;=0,"",LARGE($I$5:$I$49,8)),"")</f>
        <v/>
      </c>
    </row>
    <row r="62">
      <c r="B62" s="10" t="n">
        <v>9</v>
      </c>
      <c r="C62" s="10">
        <f>IFERROR(IF(LARGE($I$5:$I$49,9)&lt;=0,"—",INDEX($B$5:$B$49,MATCH(LARGE($I$5:$I$49,9),$I$5:$I$49,0))),"—")</f>
        <v/>
      </c>
      <c r="I62" s="46">
        <f>IFERROR(IF(LARGE($I$5:$I$49,9)&lt;=0,"",LARGE($I$5:$I$49,9)),"")</f>
        <v/>
      </c>
    </row>
    <row r="63">
      <c r="B63" s="10" t="n">
        <v>10</v>
      </c>
      <c r="C63" s="10">
        <f>IFERROR(IF(LARGE($I$5:$I$49,10)&lt;=0,"—",INDEX($B$5:$B$49,MATCH(LARGE($I$5:$I$49,10),$I$5:$I$49,0))),"—")</f>
        <v/>
      </c>
      <c r="I63" s="46">
        <f>IFERROR(IF(LARGE($I$5:$I$49,10)&lt;=0,"",LARGE($I$5:$I$49,10)),"")</f>
        <v/>
      </c>
    </row>
    <row r="64">
      <c r="B64" s="7" t="inlineStr">
        <is>
          <t>TOP-DOWN BENCHMARK IMPUTATION (DIAGNOSE)</t>
        </is>
      </c>
      <c r="C64" s="8" t="inlineStr"/>
      <c r="D64" s="8" t="inlineStr"/>
      <c r="E64" s="8" t="inlineStr"/>
      <c r="F64" s="8" t="inlineStr"/>
      <c r="G64" s="8" t="inlineStr"/>
      <c r="H64" s="8" t="inlineStr"/>
      <c r="I64" s="8" t="inlineStr"/>
      <c r="J64" s="8" t="inlineStr"/>
      <c r="K64" s="8" t="inlineStr"/>
      <c r="L64" s="8" t="inlineStr"/>
      <c r="M64" s="8" t="inlineStr"/>
      <c r="N64" s="8" t="inlineStr"/>
      <c r="O64" s="8" t="inlineStr"/>
      <c r="P64" s="8" t="inlineStr"/>
      <c r="Q64" s="8" t="inlineStr"/>
      <c r="R64" s="8" t="inlineStr"/>
      <c r="S64" s="8" t="inlineStr"/>
    </row>
    <row r="65" ht="42" customHeight="1">
      <c r="B65" s="5" t="inlineStr">
        <is>
          <t>Process-level benchmarks are not published for UK banking. Bank-level cost:income is. This block takes the only benchmark that exists and imputes what the named processes would collectively have to become to reach it. An imputed target is NOT evidence that anyone achieves it — it is the size of the problem, allocated.</t>
        </is>
      </c>
    </row>
    <row r="66">
      <c r="B66" s="10" t="inlineStr">
        <is>
          <t>Cost:income ratio — as modelled</t>
        </is>
      </c>
      <c r="H66" s="48">
        <f>-'7. P&amp;L'!$C$16/'7. P&amp;L'!$C$6</f>
        <v/>
      </c>
    </row>
    <row r="67">
      <c r="B67" s="10" t="inlineStr">
        <is>
          <t>Cost:income ratio — target</t>
        </is>
      </c>
      <c r="H67" s="48">
        <f>'Inputs'!$F$199</f>
        <v/>
      </c>
      <c r="J67" s="5" t="inlineStr">
        <is>
          <t>Inputs section M. OakNorth ~26%, Allica ~50%.</t>
        </is>
      </c>
    </row>
    <row r="68">
      <c r="B68" s="10" t="inlineStr">
        <is>
          <t>Total operating costs</t>
        </is>
      </c>
      <c r="H68" s="46">
        <f>-'7. P&amp;L'!$C$16</f>
        <v/>
      </c>
    </row>
    <row r="69">
      <c r="B69" s="10" t="inlineStr">
        <is>
          <t>Operating costs at target cost:income</t>
        </is>
      </c>
      <c r="H69" s="46">
        <f>'7. P&amp;L'!$C$6*'3b. Process Index'!$H$67</f>
        <v/>
      </c>
    </row>
    <row r="70">
      <c r="B70" s="10" t="inlineStr">
        <is>
          <t>Cost reduction required</t>
        </is>
      </c>
      <c r="H70" s="46">
        <f>'3b. Process Index'!$H$68-'3b. Process Index'!$H$69</f>
        <v/>
      </c>
    </row>
    <row r="71">
      <c r="B71" s="10" t="inlineStr">
        <is>
          <t>Cost base with a named process owner</t>
        </is>
      </c>
      <c r="H71" s="46">
        <f>'4. Running Costs'!$C$25+'4. Running Costs'!$C$24+'3. HR &amp; Activity'!$H$97</f>
        <v/>
      </c>
      <c r="J71" s="5" t="inlineStr">
        <is>
          <t>Activity-driven payroll + RM cost + named head-office processes. Everything else has no process to improve.</t>
        </is>
      </c>
    </row>
    <row r="72">
      <c r="B72" s="10" t="inlineStr">
        <is>
          <t>…as a share of total operating costs</t>
        </is>
      </c>
      <c r="H72" s="48">
        <f>'3b. Process Index'!$H$71/'3b. Process Index'!$H$68</f>
        <v/>
      </c>
      <c r="J72" s="5" t="inlineStr">
        <is>
          <t>The model's own assessment of its causal completeness. It rises as the register fills.</t>
        </is>
      </c>
    </row>
    <row r="73">
      <c r="B73" s="10" t="inlineStr">
        <is>
          <t>Implied uniform improvement across process-owned cost</t>
        </is>
      </c>
      <c r="H73" s="48">
        <f>IF('3b. Process Index'!$H$70&lt;=0,"no reduction required at this target",'3b. Process Index'!$H$70/'3b. Process Index'!$H$71)</f>
        <v/>
      </c>
      <c r="J73" s="5" t="inlineStr">
        <is>
          <t>What every named process would have to give up, on average, to reach the target from the process-owned cost base alone. Above 100% means the target is unreachable without changing costs that no process currently owns.</t>
        </is>
      </c>
    </row>
    <row r="74">
      <c r="B74" s="10" t="inlineStr">
        <is>
          <t>Gap to best in class already named bottom-up</t>
        </is>
      </c>
      <c r="H74" s="46">
        <f>'3. HR &amp; Activity'!$T$101+'3. HR &amp; Activity'!$T$97</f>
        <v/>
      </c>
      <c r="J74" s="5" t="inlineStr">
        <is>
          <t>Fills in as benchmark cells are populated. The distance between this and the required reduction is the part of the target nobody has yet explained.</t>
        </is>
      </c>
    </row>
    <row r="75">
      <c r="B75" s="10" t="inlineStr">
        <is>
          <t>…required reduction not yet explained by a named benchmark gap</t>
        </is>
      </c>
      <c r="H75" s="46">
        <f>MAX(0,'3b. Process Index'!$H$70-'3b. Process Index'!$H$74)</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B1:E34"/>
  <sheetViews>
    <sheetView workbookViewId="0">
      <pane ySplit="3" topLeftCell="A4" activePane="bottomLeft" state="frozen"/>
      <selection pane="bottomLeft" activeCell="A1" sqref="A1"/>
    </sheetView>
  </sheetViews>
  <sheetFormatPr baseColWidth="8" defaultRowHeight="15"/>
  <cols>
    <col width="2" customWidth="1" min="1" max="1"/>
    <col width="50" customWidth="1" min="2" max="2"/>
    <col width="15" customWidth="1" min="3" max="3"/>
    <col width="12" customWidth="1" min="4" max="4"/>
    <col width="70" customWidth="1" min="5" max="5"/>
  </cols>
  <sheetData>
    <row r="1">
      <c r="B1" s="1" t="inlineStr">
        <is>
          <t>STEP 2 (CONT.) — TOTAL RUNNING COSTS OF THE OPERATING UNIT</t>
        </is>
      </c>
    </row>
    <row r="3">
      <c r="B3" s="10" t="inlineStr">
        <is>
          <t>Unit HR cost (from HR &amp; Activity sheet)</t>
        </is>
      </c>
      <c r="C3" s="59">
        <f>'3. HR &amp; Activity'!$H$41</f>
        <v/>
      </c>
    </row>
    <row r="4">
      <c r="B4" s="10" t="inlineStr">
        <is>
          <t>Premises &amp; facilities</t>
        </is>
      </c>
      <c r="C4" s="46">
        <f>'3. HR &amp; Activity'!$D$41*'Inputs'!$F$125</f>
        <v/>
      </c>
      <c r="D4" s="62" t="inlineStr">
        <is>
          <t>CP1 · all WP</t>
        </is>
      </c>
      <c r="E4" s="14" t="inlineStr">
        <is>
          <t>FTEs × cost per FTE</t>
        </is>
      </c>
    </row>
    <row r="5">
      <c r="B5" s="10" t="inlineStr">
        <is>
          <t>Equipment &amp; fit-out depreciation</t>
        </is>
      </c>
      <c r="C5" s="46">
        <f>'3. HR &amp; Activity'!$D$41*'Inputs'!$F$126</f>
        <v/>
      </c>
      <c r="D5" s="62" t="inlineStr">
        <is>
          <t>E1</t>
        </is>
      </c>
    </row>
    <row r="6">
      <c r="B6" s="10" t="inlineStr">
        <is>
          <t>Other direct running costs</t>
        </is>
      </c>
      <c r="C6" s="46">
        <f>'4. Running Costs'!$C$3*'Inputs'!$F$127</f>
        <v/>
      </c>
      <c r="D6" s="62" t="inlineStr">
        <is>
          <t>E1</t>
        </is>
      </c>
      <c r="E6" s="14" t="inlineStr">
        <is>
          <t>Travel, training, sundry — % of HR</t>
        </is>
      </c>
    </row>
    <row r="7">
      <c r="B7" s="10" t="inlineStr">
        <is>
          <t>Unit-level platform &amp; processing</t>
        </is>
      </c>
      <c r="C7" s="46">
        <f>'Inputs'!$F$182*'Inputs'!$F$128*('1. Customers'!$C$4/'Inputs'!$F$182)^'Inputs'!$F$181</f>
        <v/>
      </c>
      <c r="D7" s="62" t="inlineStr">
        <is>
          <t>S2</t>
        </is>
      </c>
      <c r="E7" s="14" t="inlineStr">
        <is>
          <t>Per-customer core banking &amp; payments processing</t>
        </is>
      </c>
    </row>
    <row r="8">
      <c r="B8" s="10" t="inlineStr">
        <is>
          <t>Fraud &amp; payment losses (incl. APP reimbursement)</t>
        </is>
      </c>
      <c r="C8" s="46">
        <f>'Inputs'!$F$142*'1. Customers'!$C$12</f>
        <v/>
      </c>
      <c r="D8" s="62" t="inlineStr">
        <is>
          <t>E1</t>
        </is>
      </c>
      <c r="E8" s="14" t="inlineStr">
        <is>
          <t>Driver: current accounts — the payment-carrying product</t>
        </is>
      </c>
    </row>
    <row r="9">
      <c r="B9" s="10" t="inlineStr">
        <is>
          <t>FSCS deposit-protection levy</t>
        </is>
      </c>
      <c r="C9" s="46">
        <f>('1. Customers'!$E$12+'1. Customers'!$E$13+'1. Customers'!$E$14)*'Inputs'!$F$144*'Inputs'!$F$143</f>
        <v/>
      </c>
      <c r="D9" s="62" t="inlineStr">
        <is>
          <t>CA-WP</t>
        </is>
      </c>
      <c r="E9" s="14" t="inlineStr">
        <is>
          <t>Driver: FSCS-protected deposit balances</t>
        </is>
      </c>
    </row>
    <row r="10">
      <c r="B10" s="42" t="inlineStr">
        <is>
          <t>TOTAL DIRECT RUNNING COSTS</t>
        </is>
      </c>
      <c r="C10" s="47">
        <f>'4. Running Costs'!$C$3+'4. Running Costs'!$C$4+'4. Running Costs'!$C$5+'4. Running Costs'!$C$6+'4. Running Costs'!$C$7+'4. Running Costs'!$C$8+'4. Running Costs'!$C$9</f>
        <v/>
      </c>
      <c r="D10" s="62" t="inlineStr">
        <is>
          <t>SV-WP</t>
        </is>
      </c>
    </row>
    <row r="12">
      <c r="B12" s="7" t="inlineStr">
        <is>
          <t>SHARE OF HEAD-OFFICE RUNNING COSTS</t>
        </is>
      </c>
      <c r="C12" s="8" t="inlineStr"/>
      <c r="D12" s="8" t="inlineStr"/>
      <c r="E12" s="8" t="inlineStr"/>
    </row>
    <row r="13">
      <c r="B13" s="10" t="inlineStr">
        <is>
          <t>Technology &amp; central operations</t>
        </is>
      </c>
      <c r="C13" s="46">
        <f>'Inputs'!$F$182*'Inputs'!$F$129*('1. Customers'!$C$4/'Inputs'!$F$182)^'Inputs'!$F$181+'Inputs'!$F$185</f>
        <v/>
      </c>
      <c r="E13" s="14" t="inlineStr">
        <is>
          <t>Per-customer rate + fixed component (Inputs section N)</t>
        </is>
      </c>
    </row>
    <row r="14">
      <c r="B14" s="10" t="inlineStr">
        <is>
          <t>Risk, compliance, financial crime &amp; audit</t>
        </is>
      </c>
      <c r="C14" s="46">
        <f>'Inputs'!$F$182*'Inputs'!$F$130*('1. Customers'!$C$4/'Inputs'!$F$182)^'Inputs'!$F$181+'Inputs'!$F$186</f>
        <v/>
      </c>
      <c r="E14" s="14" t="inlineStr">
        <is>
          <t>Per-customer rate + fixed component (Inputs section N)</t>
        </is>
      </c>
    </row>
    <row r="15">
      <c r="B15" s="10" t="inlineStr">
        <is>
          <t>Finance, HR, exec, brand &amp; residual marketing</t>
        </is>
      </c>
      <c r="C15" s="46">
        <f>'Inputs'!$F$182*'Inputs'!$F$131*('1. Customers'!$C$4/'Inputs'!$F$182)^'Inputs'!$F$181+'Inputs'!$F$187</f>
        <v/>
      </c>
      <c r="E15" s="14" t="inlineStr">
        <is>
          <t>Per-customer rate + fixed component (Inputs section N)</t>
        </is>
      </c>
    </row>
    <row r="16">
      <c r="B16" s="10" t="inlineStr">
        <is>
          <t>Churn replacement — acquisition marketing (driver: new customers won)</t>
        </is>
      </c>
      <c r="C16" s="46">
        <f>'1. Customers'!$C$8*'Inputs'!$F$136</f>
        <v/>
      </c>
      <c r="E16" s="14" t="inlineStr">
        <is>
          <t>Demand generation to replace churned customers; scales with the churn input</t>
        </is>
      </c>
    </row>
    <row r="17">
      <c r="B17" s="42" t="inlineStr">
        <is>
          <t>TOTAL HEAD-OFFICE ALLOCATION</t>
        </is>
      </c>
      <c r="C17" s="47">
        <f>'4. Running Costs'!$C$13+'4. Running Costs'!$C$14+'4. Running Costs'!$C$15+'4. Running Costs'!$C$16</f>
        <v/>
      </c>
    </row>
    <row r="19">
      <c r="B19" s="42" t="inlineStr">
        <is>
          <t>Change-the-bank / transformation (portfolio hurdle — no product driver)</t>
        </is>
      </c>
      <c r="C19" s="68">
        <f>'Inputs'!$F$182*'Inputs'!$F$145*('1. Customers'!$C$4/'Inputs'!$F$182)^'Inputs'!$F$181</f>
        <v/>
      </c>
      <c r="E19" s="14" t="inlineStr">
        <is>
          <t>Regulatory change + tech transformation; held unallocated like joint costs</t>
        </is>
      </c>
    </row>
    <row r="20">
      <c r="B20" s="42" t="inlineStr">
        <is>
          <t>TOTAL OPERATING COSTS (unit + HO share + change)</t>
        </is>
      </c>
      <c r="C20" s="47">
        <f>'4. Running Costs'!$C$10+'4. Running Costs'!$C$17+'4. Running Costs'!$C$19</f>
        <v/>
      </c>
    </row>
    <row r="21">
      <c r="B21" s="42" t="inlineStr">
        <is>
          <t>Operating cost per customer</t>
        </is>
      </c>
      <c r="C21" s="26">
        <f>'4. Running Costs'!$C$20/'1. Customers'!$C$4</f>
        <v/>
      </c>
    </row>
    <row r="23">
      <c r="B23" s="7" t="inlineStr">
        <is>
          <t>COST ATTRIBUTION MEMO (ABC to the causality limit — see Unit Economics tab)</t>
        </is>
      </c>
      <c r="C23" s="8" t="inlineStr"/>
      <c r="D23" s="8" t="inlineStr"/>
      <c r="E23" s="8" t="inlineStr"/>
    </row>
    <row r="24">
      <c r="B24" s="10" t="inlineStr">
        <is>
          <t>RM cost (attributed to lending products as acquisition cost)</t>
        </is>
      </c>
      <c r="C24" s="59">
        <f>'3. HR &amp; Activity'!$H$37</f>
        <v/>
      </c>
    </row>
    <row r="25">
      <c r="B25" s="10" t="inlineStr">
        <is>
          <t>Activity-driven servicing cost (analyst + service payroll)</t>
        </is>
      </c>
      <c r="C25" s="46">
        <f>'3. HR &amp; Activity'!$H$38+'3. HR &amp; Activity'!$H$39</f>
        <v/>
      </c>
    </row>
    <row r="26">
      <c r="B26" s="10" t="inlineStr">
        <is>
          <t>Supervision &amp; workplace pool (managers, premises, depreciation, other)</t>
        </is>
      </c>
      <c r="C26" s="46">
        <f>'3. HR &amp; Activity'!$H$40+'4. Running Costs'!$C$4+'4. Running Costs'!$C$5+'4. Running Costs'!$C$6</f>
        <v/>
      </c>
      <c r="E26" s="14" t="inlineStr">
        <is>
          <t>Driver: staff time — follows each product's share of servicing + RM cost</t>
        </is>
      </c>
    </row>
    <row r="27">
      <c r="B27" s="10" t="inlineStr">
        <is>
          <t>Head-office tech attributed to named processes (tab 3 register)</t>
        </is>
      </c>
      <c r="C27" s="59">
        <f>'3. HR &amp; Activity'!$H$98</f>
        <v/>
      </c>
    </row>
    <row r="28">
      <c r="B28" s="10" t="inlineStr">
        <is>
          <t>Head-office risk attributed to named processes (tab 3 register)</t>
        </is>
      </c>
      <c r="C28" s="59">
        <f>'3. HR &amp; Activity'!$H$99</f>
        <v/>
      </c>
    </row>
    <row r="29">
      <c r="B29" s="10" t="inlineStr">
        <is>
          <t>Head-office corporate attributed to named processes (tab 3 register)</t>
        </is>
      </c>
      <c r="C29" s="59">
        <f>'3. HR &amp; Activity'!$H$100</f>
        <v/>
      </c>
    </row>
    <row r="30">
      <c r="B30" s="10" t="inlineStr">
        <is>
          <t>Churn-replacement acquisition marketing attributed by driver (new customers won)</t>
        </is>
      </c>
      <c r="C30" s="46">
        <f>'4. Running Costs'!$C$16</f>
        <v/>
      </c>
    </row>
    <row r="31">
      <c r="B31" s="42" t="inlineStr">
        <is>
          <t>UNALLOCATED JOINT COSTS (brand, exec, finance, platform build, pool remainders)</t>
        </is>
      </c>
      <c r="C31" s="68">
        <f>'4. Running Costs'!$C$17-'3. HR &amp; Activity'!$H$97-'4. Running Costs'!$C$30</f>
        <v/>
      </c>
      <c r="E31" s="14" t="inlineStr">
        <is>
          <t>Shrinks pound for pound as processes are named on the tab 3 register — costs are carved OUT of the pools, never added on top, so the total never moves. No causal driver exists for what remains; held as a portfolio hurdle, not forced into products.</t>
        </is>
      </c>
    </row>
    <row r="33">
      <c r="B33" s="42" t="inlineStr">
        <is>
          <t>MEMO — cost base with a named process owner</t>
        </is>
      </c>
      <c r="C33" s="26">
        <f>'4. Running Costs'!$C$25+'4. Running Costs'!$C$24+'3. HR &amp; Activity'!$H$97+'4. Running Costs'!$C$30</f>
        <v/>
      </c>
      <c r="E33" s="14" t="inlineStr">
        <is>
          <t>Activity-driven payroll + RM cost + named head-office processes. Everything else has no process to improve.</t>
        </is>
      </c>
    </row>
    <row r="34">
      <c r="B34" s="42" t="inlineStr">
        <is>
          <t>…as a share of total operating costs</t>
        </is>
      </c>
      <c r="C34" s="57">
        <f>'4. Running Costs'!$C$33/'4. Running Costs'!$C$20</f>
        <v/>
      </c>
      <c r="E34" s="14" t="inlineStr">
        <is>
          <t>The model's own assessment of its causal completeness. It rises as the head-office register fills.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B1:I19"/>
  <sheetViews>
    <sheetView workbookViewId="0">
      <pane ySplit="3" topLeftCell="A4" activePane="bottomLeft" state="frozen"/>
      <selection pane="bottomLeft" activeCell="A1" sqref="A1"/>
    </sheetView>
  </sheetViews>
  <sheetFormatPr baseColWidth="8" defaultRowHeight="15"/>
  <cols>
    <col width="2" customWidth="1" min="1" max="1"/>
    <col width="36" customWidth="1" min="2" max="2"/>
    <col width="16" customWidth="1" min="3" max="3"/>
    <col width="10" customWidth="1" min="4" max="4"/>
    <col width="13" customWidth="1" min="5" max="5"/>
    <col width="10" customWidth="1" min="6" max="6"/>
    <col width="15" customWidth="1" min="7" max="7"/>
    <col width="13" customWidth="1" min="8" max="8"/>
    <col width="55" customWidth="1" min="9" max="9"/>
  </cols>
  <sheetData>
    <row r="1">
      <c r="B1" s="1" t="inlineStr">
        <is>
          <t>STEP 3 — INVESTMENT COSTS: EXPECTED LOSSES, CAPITAL &amp; REQUIRED RETURN</t>
        </is>
      </c>
    </row>
    <row r="3">
      <c r="B3" s="7" t="inlineStr">
        <is>
          <t>EXPECTED CREDIT LOSSES</t>
        </is>
      </c>
      <c r="C3" s="8" t="inlineStr"/>
      <c r="D3" s="8" t="inlineStr"/>
      <c r="E3" s="8" t="inlineStr"/>
      <c r="F3" s="8" t="inlineStr"/>
      <c r="G3" s="8" t="inlineStr"/>
      <c r="H3" s="8" t="inlineStr"/>
    </row>
    <row r="4">
      <c r="B4" s="45" t="inlineStr">
        <is>
          <t>Lending product</t>
        </is>
      </c>
      <c r="C4" s="45" t="inlineStr">
        <is>
          <t>Total balances (£)</t>
        </is>
      </c>
      <c r="D4" s="45" t="inlineStr">
        <is>
          <t>Gross PD</t>
        </is>
      </c>
      <c r="E4" s="45" t="inlineStr">
        <is>
          <t>Effective PD (after RM stewardship)</t>
        </is>
      </c>
      <c r="F4" s="45" t="inlineStr">
        <is>
          <t>LGD</t>
        </is>
      </c>
      <c r="G4" s="45" t="inlineStr">
        <is>
          <t>Expected loss (£/yr)</t>
        </is>
      </c>
      <c r="H4" s="45" t="inlineStr">
        <is>
          <t>EL per unit (£)</t>
        </is>
      </c>
    </row>
    <row r="5">
      <c r="B5" s="10" t="inlineStr">
        <is>
          <t>Business overdrafts</t>
        </is>
      </c>
      <c r="C5" s="59">
        <f>'1. Customers'!$E$15</f>
        <v/>
      </c>
      <c r="D5" s="69">
        <f>'Inputs'!$F$77</f>
        <v/>
      </c>
      <c r="E5" s="16">
        <f>D5*(1-'Inputs'!$F$167*'Inputs'!$F$166)</f>
        <v/>
      </c>
      <c r="F5" s="56">
        <f>'Inputs'!$F$78</f>
        <v/>
      </c>
      <c r="G5" s="46">
        <f>C5*E5*F5</f>
        <v/>
      </c>
      <c r="H5" s="46">
        <f>G5/'1. Customers'!$C$15</f>
        <v/>
      </c>
    </row>
    <row r="6">
      <c r="B6" s="10" t="inlineStr">
        <is>
          <t>Term loans &amp; comm. mortgages</t>
        </is>
      </c>
      <c r="C6" s="59">
        <f>'1. Customers'!$E$16</f>
        <v/>
      </c>
      <c r="D6" s="69">
        <f>'Inputs'!$F$79</f>
        <v/>
      </c>
      <c r="E6" s="16">
        <f>D6*(1-'Inputs'!$F$167*'Inputs'!$F$166)</f>
        <v/>
      </c>
      <c r="F6" s="56">
        <f>'Inputs'!$F$80</f>
        <v/>
      </c>
      <c r="G6" s="46">
        <f>C6*E6*F6</f>
        <v/>
      </c>
      <c r="H6" s="46">
        <f>G6/'1. Customers'!$C$16</f>
        <v/>
      </c>
    </row>
    <row r="7">
      <c r="B7" s="10" t="inlineStr">
        <is>
          <t>Asset finance</t>
        </is>
      </c>
      <c r="C7" s="59">
        <f>'1. Customers'!$E$17</f>
        <v/>
      </c>
      <c r="D7" s="69">
        <f>'Inputs'!$F$81</f>
        <v/>
      </c>
      <c r="E7" s="16">
        <f>D7*(1-'Inputs'!$F$167*'Inputs'!$F$166)</f>
        <v/>
      </c>
      <c r="F7" s="56">
        <f>'Inputs'!$F$82</f>
        <v/>
      </c>
      <c r="G7" s="46">
        <f>C7*E7*F7</f>
        <v/>
      </c>
      <c r="H7" s="46">
        <f>G7/'1. Customers'!$C$17</f>
        <v/>
      </c>
    </row>
    <row r="8">
      <c r="B8" s="10" t="inlineStr">
        <is>
          <t>Invoice finance</t>
        </is>
      </c>
      <c r="C8" s="59">
        <f>'1. Customers'!$E$18</f>
        <v/>
      </c>
      <c r="D8" s="69">
        <f>'Inputs'!$F$83</f>
        <v/>
      </c>
      <c r="E8" s="16">
        <f>D8*(1-'Inputs'!$F$167*'Inputs'!$F$166)</f>
        <v/>
      </c>
      <c r="F8" s="56">
        <f>'Inputs'!$F$84</f>
        <v/>
      </c>
      <c r="G8" s="46">
        <f>C8*E8*F8</f>
        <v/>
      </c>
      <c r="H8" s="46">
        <f>G8/'1. Customers'!$C$18</f>
        <v/>
      </c>
    </row>
    <row r="9">
      <c r="B9" s="10" t="inlineStr">
        <is>
          <t>Business credit cards</t>
        </is>
      </c>
      <c r="C9" s="59">
        <f>'1. Customers'!$E$19</f>
        <v/>
      </c>
      <c r="D9" s="69">
        <f>'Inputs'!$F$85</f>
        <v/>
      </c>
      <c r="E9" s="16">
        <f>D9</f>
        <v/>
      </c>
      <c r="F9" s="56">
        <f>'Inputs'!$F$86</f>
        <v/>
      </c>
      <c r="G9" s="46">
        <f>C9*E9*F9</f>
        <v/>
      </c>
      <c r="H9" s="46">
        <f>G9/'1. Customers'!$C$19</f>
        <v/>
      </c>
    </row>
    <row r="10">
      <c r="B10" s="60" t="inlineStr">
        <is>
          <t>TOTAL EXPECTED LOSSES</t>
        </is>
      </c>
      <c r="G10" s="47">
        <f>SUM(G5:G9)</f>
        <v/>
      </c>
    </row>
    <row r="11">
      <c r="B11" s="5" t="inlineStr">
        <is>
          <t>Effective PD = gross PD × (1 − stewardship PD reduction × RM-covered share of balances). Cards are unmanaged, so uncovered.</t>
        </is>
      </c>
    </row>
    <row r="13">
      <c r="B13" s="7" t="inlineStr">
        <is>
          <t>CAPITAL &amp; REQUIRED RETURN</t>
        </is>
      </c>
      <c r="C13" s="8" t="inlineStr"/>
      <c r="D13" s="8" t="inlineStr"/>
      <c r="E13" s="8" t="inlineStr"/>
      <c r="F13" s="8" t="inlineStr"/>
      <c r="G13" s="8" t="inlineStr"/>
      <c r="H13" s="8" t="inlineStr"/>
    </row>
    <row r="14">
      <c r="B14" s="10" t="inlineStr">
        <is>
          <t>Credit risk-weighted assets</t>
        </is>
      </c>
      <c r="C14" s="46">
        <f>'1. Customers'!$E$15*'Inputs'!$F$87+'1. Customers'!$E$16*'Inputs'!$F$88+'1. Customers'!$E$17*'Inputs'!$F$89+'1. Customers'!$E$18*'Inputs'!$F$90+'1. Customers'!$E$19*'Inputs'!$F$91</f>
        <v/>
      </c>
      <c r="I14" s="14" t="inlineStr">
        <is>
          <t>Balances × risk weights</t>
        </is>
      </c>
    </row>
    <row r="15">
      <c r="B15" s="10" t="inlineStr">
        <is>
          <t>Operational risk-weighted assets</t>
        </is>
      </c>
      <c r="C15" s="46">
        <f>'2. Revenues'!$M$14*'Inputs'!$F$92</f>
        <v/>
      </c>
      <c r="I15" s="14" t="inlineStr">
        <is>
          <t>Basic-indicator proxy: gross income × 1.875</t>
        </is>
      </c>
    </row>
    <row r="16">
      <c r="B16" s="42" t="inlineStr">
        <is>
          <t>TOTAL RWAs</t>
        </is>
      </c>
      <c r="C16" s="47">
        <f>'5. Risk &amp; Capital'!$C$14+'5. Risk &amp; Capital'!$C$15</f>
        <v/>
      </c>
    </row>
    <row r="17">
      <c r="B17" s="42" t="inlineStr">
        <is>
          <t>Equity allocated to the operating unit</t>
        </is>
      </c>
      <c r="C17" s="47">
        <f>'5. Risk &amp; Capital'!$C$16*'Inputs'!$F$93</f>
        <v/>
      </c>
      <c r="I17" s="14" t="inlineStr">
        <is>
          <t>RWAs × capital ratio</t>
        </is>
      </c>
    </row>
    <row r="18">
      <c r="B18" s="10" t="inlineStr">
        <is>
          <t>Equity investment benefit (equity earns Bank Rate)</t>
        </is>
      </c>
      <c r="C18" s="46">
        <f>'5. Risk &amp; Capital'!$C$17*'Inputs'!$F$8</f>
        <v/>
      </c>
      <c r="I18" s="14" t="inlineStr">
        <is>
          <t>Added to income in the P&amp;L — equity funds assets so it earns the transfer price</t>
        </is>
      </c>
    </row>
    <row r="19">
      <c r="B19" s="10" t="inlineStr">
        <is>
          <t>Required return on equity (pre-tax equivalent shown post-tax in P&amp;L)</t>
        </is>
      </c>
      <c r="C19" s="46">
        <f>'5. Risk &amp; Capital'!$C$17*'Inputs'!$F$94</f>
        <v/>
      </c>
      <c r="I19" s="14" t="inlineStr">
        <is>
          <t>Equity × cost of equity — the Simanis 'second-level investment cost'</t>
        </is>
      </c>
    </row>
  </sheetData>
  <mergeCells count="1">
    <mergeCell ref="B11:H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L4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2" customWidth="1" min="1" max="1"/>
    <col width="42" customWidth="1" min="2" max="2"/>
    <col width="12.5" customWidth="1" min="3" max="3"/>
    <col width="12.5" customWidth="1" min="4" max="4"/>
    <col width="12.5" customWidth="1" min="5" max="5"/>
    <col width="12.5" customWidth="1" min="6" max="6"/>
    <col width="12.5" customWidth="1" min="7" max="7"/>
    <col width="12.5" customWidth="1" min="8" max="8"/>
    <col width="12.5" customWidth="1" min="9" max="9"/>
    <col width="12.5" customWidth="1" min="10" max="10"/>
    <col width="12.5" customWidth="1" min="11" max="11"/>
    <col width="12.5" customWidth="1" min="12" max="12"/>
  </cols>
  <sheetData>
    <row r="1">
      <c r="B1" s="1" t="inlineStr">
        <is>
          <t>STEPS 4 &amp; 5 — WHOLE-COST UNIT ECONOMICS BY PRODUCT</t>
        </is>
      </c>
    </row>
    <row r="2">
      <c r="B2" s="14" t="inlineStr">
        <is>
          <t>Per account / facility / user per year. Whole cost = expected loss + servicing + RM + allocated overhead; economic profit is after a charge for shareholder capital.</t>
        </is>
      </c>
    </row>
    <row r="4">
      <c r="B4" s="42" t="inlineStr"/>
      <c r="C4" s="45" t="inlineStr">
        <is>
          <t>Current accounts</t>
        </is>
      </c>
      <c r="D4" s="45" t="inlineStr">
        <is>
          <t>Instant savings</t>
        </is>
      </c>
      <c r="E4" s="45" t="inlineStr">
        <is>
          <t>Notice &amp; fixed deposits</t>
        </is>
      </c>
      <c r="F4" s="45" t="inlineStr">
        <is>
          <t>Overdrafts</t>
        </is>
      </c>
      <c r="G4" s="45" t="inlineStr">
        <is>
          <t>Term loans</t>
        </is>
      </c>
      <c r="H4" s="45" t="inlineStr">
        <is>
          <t>Asset finance</t>
        </is>
      </c>
      <c r="I4" s="45" t="inlineStr">
        <is>
          <t>Invoice finance</t>
        </is>
      </c>
      <c r="J4" s="45" t="inlineStr">
        <is>
          <t>Credit cards</t>
        </is>
      </c>
      <c r="K4" s="45" t="inlineStr">
        <is>
          <t>Payments &amp; FX</t>
        </is>
      </c>
      <c r="L4" s="45" t="inlineStr">
        <is>
          <t>TOTAL / blended</t>
        </is>
      </c>
    </row>
    <row r="5">
      <c r="B5" s="62" t="inlineStr">
        <is>
          <t>(product key)</t>
        </is>
      </c>
      <c r="C5" s="70" t="inlineStr">
        <is>
          <t>bca</t>
        </is>
      </c>
      <c r="D5" s="70" t="inlineStr">
        <is>
          <t>sav</t>
        </is>
      </c>
      <c r="E5" s="70" t="inlineStr">
        <is>
          <t>dep</t>
        </is>
      </c>
      <c r="F5" s="70" t="inlineStr">
        <is>
          <t>od</t>
        </is>
      </c>
      <c r="G5" s="70" t="inlineStr">
        <is>
          <t>loan</t>
        </is>
      </c>
      <c r="H5" s="70" t="inlineStr">
        <is>
          <t>af</t>
        </is>
      </c>
      <c r="I5" s="70" t="inlineStr">
        <is>
          <t>inv</t>
        </is>
      </c>
      <c r="J5" s="70" t="inlineStr">
        <is>
          <t>card</t>
        </is>
      </c>
      <c r="K5" s="70" t="inlineStr">
        <is>
          <t>fx</t>
        </is>
      </c>
    </row>
    <row r="6">
      <c r="B6" s="10" t="inlineStr">
        <is>
          <t>Units (accounts / facilities / users)</t>
        </is>
      </c>
      <c r="C6" s="58">
        <f>'1. Customers'!$C$12</f>
        <v/>
      </c>
      <c r="D6" s="58">
        <f>'1. Customers'!$C$13</f>
        <v/>
      </c>
      <c r="E6" s="58">
        <f>'1. Customers'!$C$14</f>
        <v/>
      </c>
      <c r="F6" s="58">
        <f>'1. Customers'!$C$15</f>
        <v/>
      </c>
      <c r="G6" s="58">
        <f>'1. Customers'!$C$16</f>
        <v/>
      </c>
      <c r="H6" s="58">
        <f>'1. Customers'!$C$17</f>
        <v/>
      </c>
      <c r="I6" s="58">
        <f>'1. Customers'!$C$18</f>
        <v/>
      </c>
      <c r="J6" s="58">
        <f>'1. Customers'!$C$19</f>
        <v/>
      </c>
      <c r="K6" s="58">
        <f>'1. Customers'!$C$20</f>
        <v/>
      </c>
      <c r="L6" s="22">
        <f>SUM(C6:K6)</f>
        <v/>
      </c>
    </row>
    <row r="7">
      <c r="B7" s="10" t="inlineStr">
        <is>
          <t>Average balance per unit</t>
        </is>
      </c>
      <c r="C7" s="59">
        <f>'1. Customers'!$D$12</f>
        <v/>
      </c>
      <c r="D7" s="59">
        <f>'1. Customers'!$D$13</f>
        <v/>
      </c>
      <c r="E7" s="59">
        <f>'1. Customers'!$D$14</f>
        <v/>
      </c>
      <c r="F7" s="59">
        <f>'1. Customers'!$D$15</f>
        <v/>
      </c>
      <c r="G7" s="59">
        <f>'1. Customers'!$D$16</f>
        <v/>
      </c>
      <c r="H7" s="59">
        <f>'1. Customers'!$D$17</f>
        <v/>
      </c>
      <c r="I7" s="59">
        <f>'1. Customers'!$D$18</f>
        <v/>
      </c>
      <c r="J7" s="59">
        <f>'1. Customers'!$D$19</f>
        <v/>
      </c>
      <c r="K7" s="59">
        <f>'1. Customers'!$D$20</f>
        <v/>
      </c>
    </row>
    <row r="8">
      <c r="B8" s="10" t="inlineStr">
        <is>
          <t>Revenue per unit</t>
        </is>
      </c>
      <c r="C8" s="59">
        <f>'2. Revenues'!$J$5</f>
        <v/>
      </c>
      <c r="D8" s="59">
        <f>'2. Revenues'!$J$6</f>
        <v/>
      </c>
      <c r="E8" s="59">
        <f>'2. Revenues'!$J$7</f>
        <v/>
      </c>
      <c r="F8" s="59">
        <f>'2. Revenues'!$J$8</f>
        <v/>
      </c>
      <c r="G8" s="59">
        <f>'2. Revenues'!$J$9</f>
        <v/>
      </c>
      <c r="H8" s="59">
        <f>'2. Revenues'!$J$10</f>
        <v/>
      </c>
      <c r="I8" s="59">
        <f>'2. Revenues'!$J$11</f>
        <v/>
      </c>
      <c r="J8" s="59">
        <f>'2. Revenues'!$J$12</f>
        <v/>
      </c>
      <c r="K8" s="59">
        <f>'2. Revenues'!$J$13</f>
        <v/>
      </c>
      <c r="L8" s="46">
        <f>'2. Revenues'!$M$14/L6</f>
        <v/>
      </c>
    </row>
    <row r="9">
      <c r="B9" s="10" t="inlineStr">
        <is>
          <t>Expected credit loss per unit</t>
        </is>
      </c>
      <c r="C9" s="46">
        <f>0</f>
        <v/>
      </c>
      <c r="D9" s="46">
        <f>0</f>
        <v/>
      </c>
      <c r="E9" s="46">
        <f>0</f>
        <v/>
      </c>
      <c r="F9" s="46">
        <f>'5. Risk &amp; Capital'!$G$5/'1. Customers'!$C$15</f>
        <v/>
      </c>
      <c r="G9" s="46">
        <f>'5. Risk &amp; Capital'!$G$6/'1. Customers'!$C$16</f>
        <v/>
      </c>
      <c r="H9" s="46">
        <f>'5. Risk &amp; Capital'!$G$7/'1. Customers'!$C$17</f>
        <v/>
      </c>
      <c r="I9" s="46">
        <f>'5. Risk &amp; Capital'!$G$8/'1. Customers'!$C$18</f>
        <v/>
      </c>
      <c r="J9" s="46">
        <f>'5. Risk &amp; Capital'!$G$9/'1. Customers'!$C$19</f>
        <v/>
      </c>
      <c r="K9" s="46">
        <f>0</f>
        <v/>
      </c>
      <c r="L9" s="46">
        <f>'5. Risk &amp; Capital'!$G$10/L6</f>
        <v/>
      </c>
    </row>
    <row r="10">
      <c r="B10" s="10" t="inlineStr">
        <is>
          <t>Servicing cost per unit (activity-driven, tab 3)</t>
        </is>
      </c>
      <c r="C10" s="46">
        <f>SUMIF('3. HR &amp; Activity'!$C$11:$C$33,C5,'3. HR &amp; Activity'!$H$11:$H$33)/'1. Customers'!$C$12</f>
        <v/>
      </c>
      <c r="D10" s="46">
        <f>SUMIF('3. HR &amp; Activity'!$C$11:$C$33,D5,'3. HR &amp; Activity'!$H$11:$H$33)/'1. Customers'!$C$13</f>
        <v/>
      </c>
      <c r="E10" s="46">
        <f>SUMIF('3. HR &amp; Activity'!$C$11:$C$33,E5,'3. HR &amp; Activity'!$H$11:$H$33)/'1. Customers'!$C$14</f>
        <v/>
      </c>
      <c r="F10" s="46">
        <f>SUMIF('3. HR &amp; Activity'!$C$11:$C$33,F5,'3. HR &amp; Activity'!$H$11:$H$33)/'1. Customers'!$C$15</f>
        <v/>
      </c>
      <c r="G10" s="46">
        <f>SUMIF('3. HR &amp; Activity'!$C$11:$C$33,G5,'3. HR &amp; Activity'!$H$11:$H$33)/'1. Customers'!$C$16</f>
        <v/>
      </c>
      <c r="H10" s="46">
        <f>SUMIF('3. HR &amp; Activity'!$C$11:$C$33,H5,'3. HR &amp; Activity'!$H$11:$H$33)/'1. Customers'!$C$17</f>
        <v/>
      </c>
      <c r="I10" s="46">
        <f>SUMIF('3. HR &amp; Activity'!$C$11:$C$33,I5,'3. HR &amp; Activity'!$H$11:$H$33)/'1. Customers'!$C$18</f>
        <v/>
      </c>
      <c r="J10" s="46">
        <f>SUMIF('3. HR &amp; Activity'!$C$11:$C$33,J5,'3. HR &amp; Activity'!$H$11:$H$33)/'1. Customers'!$C$19</f>
        <v/>
      </c>
      <c r="K10" s="46">
        <f>SUMIF('3. HR &amp; Activity'!$C$11:$C$33,K5,'3. HR &amp; Activity'!$H$11:$H$33)/'1. Customers'!$C$20</f>
        <v/>
      </c>
      <c r="L10" s="46">
        <f>'4. Running Costs'!$C$25/L6</f>
        <v/>
      </c>
    </row>
    <row r="11">
      <c r="B11" s="10" t="inlineStr">
        <is>
          <t>RM origination (CAC) per unit (per origination, tab 3)</t>
        </is>
      </c>
      <c r="C11" s="46">
        <f>0</f>
        <v/>
      </c>
      <c r="D11" s="46">
        <f>0</f>
        <v/>
      </c>
      <c r="E11" s="46">
        <f>0</f>
        <v/>
      </c>
      <c r="F11" s="46">
        <f>'3. HR &amp; Activity'!$G$55/'1. Customers'!$C$15</f>
        <v/>
      </c>
      <c r="G11" s="46">
        <f>'3. HR &amp; Activity'!$G$52/'1. Customers'!$C$16</f>
        <v/>
      </c>
      <c r="H11" s="46">
        <f>'3. HR &amp; Activity'!$G$53/'1. Customers'!$C$17</f>
        <v/>
      </c>
      <c r="I11" s="46">
        <f>'3. HR &amp; Activity'!$G$54/'1. Customers'!$C$18</f>
        <v/>
      </c>
      <c r="J11" s="46">
        <f>0</f>
        <v/>
      </c>
      <c r="K11" s="46">
        <f>0</f>
        <v/>
      </c>
      <c r="L11" s="46">
        <f>'3. HR &amp; Activity'!$H$46/L6</f>
        <v/>
      </c>
    </row>
    <row r="12">
      <c r="B12" s="10" t="inlineStr">
        <is>
          <t>RM stewardship per unit (pro-rata covered balances, tab 3)</t>
        </is>
      </c>
      <c r="C12" s="46">
        <f>0</f>
        <v/>
      </c>
      <c r="D12" s="46">
        <f>0</f>
        <v/>
      </c>
      <c r="E12" s="46">
        <f>0</f>
        <v/>
      </c>
      <c r="F12" s="46">
        <f>'3. HR &amp; Activity'!$G$61/'1. Customers'!$C$15</f>
        <v/>
      </c>
      <c r="G12" s="46">
        <f>'3. HR &amp; Activity'!$G$62/'1. Customers'!$C$16</f>
        <v/>
      </c>
      <c r="H12" s="46">
        <f>'3. HR &amp; Activity'!$G$63/'1. Customers'!$C$17</f>
        <v/>
      </c>
      <c r="I12" s="46">
        <f>'3. HR &amp; Activity'!$G$64/'1. Customers'!$C$18</f>
        <v/>
      </c>
      <c r="J12" s="46">
        <f>0</f>
        <v/>
      </c>
      <c r="K12" s="46">
        <f>0</f>
        <v/>
      </c>
      <c r="L12" s="46">
        <f>'3. HR &amp; Activity'!$H$47/L6</f>
        <v/>
      </c>
    </row>
    <row r="13">
      <c r="B13" s="10" t="inlineStr">
        <is>
          <t>Supervision &amp; workplace per unit (driver: staff time)</t>
        </is>
      </c>
      <c r="C13" s="46">
        <f>'4. Running Costs'!$C$26*(SUMIF('3. HR &amp; Activity'!$C$11:$C$33,C5,'3. HR &amp; Activity'!$H$11:$H$33))/('4. Running Costs'!$C$25+'3. HR &amp; Activity'!$H$46+'3. HR &amp; Activity'!$H$47)/'1. Customers'!$C$12</f>
        <v/>
      </c>
      <c r="D13" s="46">
        <f>'4. Running Costs'!$C$26*(SUMIF('3. HR &amp; Activity'!$C$11:$C$33,D5,'3. HR &amp; Activity'!$H$11:$H$33))/('4. Running Costs'!$C$25+'3. HR &amp; Activity'!$H$46+'3. HR &amp; Activity'!$H$47)/'1. Customers'!$C$13</f>
        <v/>
      </c>
      <c r="E13" s="46">
        <f>'4. Running Costs'!$C$26*(SUMIF('3. HR &amp; Activity'!$C$11:$C$33,E5,'3. HR &amp; Activity'!$H$11:$H$33))/('4. Running Costs'!$C$25+'3. HR &amp; Activity'!$H$46+'3. HR &amp; Activity'!$H$47)/'1. Customers'!$C$14</f>
        <v/>
      </c>
      <c r="F13" s="46">
        <f>'4. Running Costs'!$C$26*(SUMIF('3. HR &amp; Activity'!$C$11:$C$33,F5,'3. HR &amp; Activity'!$H$11:$H$33)+'3. HR &amp; Activity'!$G$55+'3. HR &amp; Activity'!$G$61)/('4. Running Costs'!$C$25+'3. HR &amp; Activity'!$H$46+'3. HR &amp; Activity'!$H$47)/'1. Customers'!$C$15</f>
        <v/>
      </c>
      <c r="G13" s="46">
        <f>'4. Running Costs'!$C$26*(SUMIF('3. HR &amp; Activity'!$C$11:$C$33,G5,'3. HR &amp; Activity'!$H$11:$H$33)+'3. HR &amp; Activity'!$G$52+'3. HR &amp; Activity'!$G$62)/('4. Running Costs'!$C$25+'3. HR &amp; Activity'!$H$46+'3. HR &amp; Activity'!$H$47)/'1. Customers'!$C$16</f>
        <v/>
      </c>
      <c r="H13" s="46">
        <f>'4. Running Costs'!$C$26*(SUMIF('3. HR &amp; Activity'!$C$11:$C$33,H5,'3. HR &amp; Activity'!$H$11:$H$33)+'3. HR &amp; Activity'!$G$53+'3. HR &amp; Activity'!$G$63)/('4. Running Costs'!$C$25+'3. HR &amp; Activity'!$H$46+'3. HR &amp; Activity'!$H$47)/'1. Customers'!$C$17</f>
        <v/>
      </c>
      <c r="I13" s="46">
        <f>'4. Running Costs'!$C$26*(SUMIF('3. HR &amp; Activity'!$C$11:$C$33,I5,'3. HR &amp; Activity'!$H$11:$H$33)+'3. HR &amp; Activity'!$G$54+'3. HR &amp; Activity'!$G$64)/('4. Running Costs'!$C$25+'3. HR &amp; Activity'!$H$46+'3. HR &amp; Activity'!$H$47)/'1. Customers'!$C$18</f>
        <v/>
      </c>
      <c r="J13" s="46">
        <f>'4. Running Costs'!$C$26*(SUMIF('3. HR &amp; Activity'!$C$11:$C$33,J5,'3. HR &amp; Activity'!$H$11:$H$33))/('4. Running Costs'!$C$25+'3. HR &amp; Activity'!$H$46+'3. HR &amp; Activity'!$H$47)/'1. Customers'!$C$19</f>
        <v/>
      </c>
      <c r="K13" s="46">
        <f>'4. Running Costs'!$C$26*(SUMIF('3. HR &amp; Activity'!$C$11:$C$33,K5,'3. HR &amp; Activity'!$H$11:$H$33))/('4. Running Costs'!$C$25+'3. HR &amp; Activity'!$H$46+'3. HR &amp; Activity'!$H$47)/'1. Customers'!$C$20</f>
        <v/>
      </c>
      <c r="L13" s="46">
        <f>'4. Running Costs'!$C$26/L6</f>
        <v/>
      </c>
    </row>
    <row r="14">
      <c r="B14" s="10" t="inlineStr">
        <is>
          <t>Customer &amp; account infrastructure per unit (driver-based)</t>
        </is>
      </c>
      <c r="C14" s="46">
        <f>'Inputs'!$F$128+'Inputs'!$F$138+'Inputs'!$F$137+'Inputs'!$F$135+'Inputs'!$F$134*'1. Customers'!$C$8/'1. Customers'!$C$12</f>
        <v/>
      </c>
      <c r="D14" s="46">
        <f>'Inputs'!$F$138</f>
        <v/>
      </c>
      <c r="E14" s="46">
        <f>'Inputs'!$F$138</f>
        <v/>
      </c>
      <c r="F14" s="46">
        <f>'Inputs'!$F$138+'Inputs'!$F$139</f>
        <v/>
      </c>
      <c r="G14" s="46">
        <f>'Inputs'!$F$138+'Inputs'!$F$139</f>
        <v/>
      </c>
      <c r="H14" s="46">
        <f>'Inputs'!$F$138+'Inputs'!$F$139</f>
        <v/>
      </c>
      <c r="I14" s="46">
        <f>'Inputs'!$F$138+'Inputs'!$F$139</f>
        <v/>
      </c>
      <c r="J14" s="46">
        <f>'Inputs'!$F$138+'Inputs'!$F$139</f>
        <v/>
      </c>
      <c r="K14" s="46">
        <f>0</f>
        <v/>
      </c>
      <c r="L14" s="46">
        <f>('4. Running Costs'!$C$7+'4. Running Costs'!$C$27+'4. Running Costs'!$C$28)/L6</f>
        <v/>
      </c>
    </row>
    <row r="15">
      <c r="B15" s="10" t="inlineStr">
        <is>
          <t>Churn-replacement acquisition per unit (driver: new customers won; gateway = current account)</t>
        </is>
      </c>
      <c r="C15" s="46">
        <f>'Inputs'!$F$136*'1. Customers'!$C$8/'1. Customers'!$C$12</f>
        <v/>
      </c>
      <c r="D15" s="46">
        <f>0</f>
        <v/>
      </c>
      <c r="E15" s="46">
        <f>0</f>
        <v/>
      </c>
      <c r="F15" s="46">
        <f>0</f>
        <v/>
      </c>
      <c r="G15" s="46">
        <f>0</f>
        <v/>
      </c>
      <c r="H15" s="46">
        <f>0</f>
        <v/>
      </c>
      <c r="I15" s="46">
        <f>0</f>
        <v/>
      </c>
      <c r="J15" s="46">
        <f>0</f>
        <v/>
      </c>
      <c r="K15" s="46">
        <f>0</f>
        <v/>
      </c>
      <c r="L15" s="46">
        <f>'4. Running Costs'!$C$16/L6</f>
        <v/>
      </c>
    </row>
    <row r="16">
      <c r="B16" s="10" t="inlineStr">
        <is>
          <t>Fraud &amp; payment losses per unit (driver: current accounts)</t>
        </is>
      </c>
      <c r="C16" s="46">
        <f>'Inputs'!$F$142</f>
        <v/>
      </c>
      <c r="D16" s="46">
        <f>0</f>
        <v/>
      </c>
      <c r="E16" s="46">
        <f>0</f>
        <v/>
      </c>
      <c r="F16" s="46">
        <f>0</f>
        <v/>
      </c>
      <c r="G16" s="46">
        <f>0</f>
        <v/>
      </c>
      <c r="H16" s="46">
        <f>0</f>
        <v/>
      </c>
      <c r="I16" s="46">
        <f>0</f>
        <v/>
      </c>
      <c r="J16" s="46">
        <f>0</f>
        <v/>
      </c>
      <c r="K16" s="46">
        <f>0</f>
        <v/>
      </c>
      <c r="L16" s="46">
        <f>'4. Running Costs'!$C$8/L6</f>
        <v/>
      </c>
    </row>
    <row r="17">
      <c r="B17" s="10" t="inlineStr">
        <is>
          <t>FSCS levy per unit (driver: protected deposits)</t>
        </is>
      </c>
      <c r="C17" s="46">
        <f>'1. Customers'!$D$12*'Inputs'!$F$144*'Inputs'!$F$143</f>
        <v/>
      </c>
      <c r="D17" s="46">
        <f>'1. Customers'!$D$13*'Inputs'!$F$144*'Inputs'!$F$143</f>
        <v/>
      </c>
      <c r="E17" s="46">
        <f>'1. Customers'!$D$14*'Inputs'!$F$144*'Inputs'!$F$143</f>
        <v/>
      </c>
      <c r="F17" s="46">
        <f>0</f>
        <v/>
      </c>
      <c r="G17" s="46">
        <f>0</f>
        <v/>
      </c>
      <c r="H17" s="46">
        <f>0</f>
        <v/>
      </c>
      <c r="I17" s="46">
        <f>0</f>
        <v/>
      </c>
      <c r="J17" s="46">
        <f>0</f>
        <v/>
      </c>
      <c r="K17" s="46">
        <f>0</f>
        <v/>
      </c>
      <c r="L17" s="46">
        <f>'4. Running Costs'!$C$9/L6</f>
        <v/>
      </c>
    </row>
    <row r="18">
      <c r="B18" s="60" t="inlineStr">
        <is>
          <t>ATTRIBUTABLE COST PER UNIT (EL + servicing + RM orig + RM steward + supervision + infrastructure + churn replacement + fraud + levies)</t>
        </is>
      </c>
      <c r="C18" s="47">
        <f>C9+C10+C11+C12+C13+C14+C15+C16+C17</f>
        <v/>
      </c>
      <c r="D18" s="47">
        <f>D9+D10+D11+D12+D13+D14+D15+D16+D17</f>
        <v/>
      </c>
      <c r="E18" s="47">
        <f>E9+E10+E11+E12+E13+E14+E15+E16+E17</f>
        <v/>
      </c>
      <c r="F18" s="47">
        <f>F9+F10+F11+F12+F13+F14+F15+F16+F17</f>
        <v/>
      </c>
      <c r="G18" s="47">
        <f>G9+G10+G11+G12+G13+G14+G15+G16+G17</f>
        <v/>
      </c>
      <c r="H18" s="47">
        <f>H9+H10+H11+H12+H13+H14+H15+H16+H17</f>
        <v/>
      </c>
      <c r="I18" s="47">
        <f>I9+I10+I11+I12+I13+I14+I15+I16+I17</f>
        <v/>
      </c>
      <c r="J18" s="47">
        <f>J9+J10+J11+J12+J13+J14+J15+J16+J17</f>
        <v/>
      </c>
      <c r="K18" s="47">
        <f>K9+K10+K11+K12+K13+K14+K15+K16+K17</f>
        <v/>
      </c>
      <c r="L18" s="47">
        <f>L9+L10+L11+L12+L13+L14+L15+L16+L17</f>
        <v/>
      </c>
    </row>
    <row r="19">
      <c r="B19" s="42" t="inlineStr">
        <is>
          <t>CONTRIBUTION PER UNIT (revenue − attributable cost)</t>
        </is>
      </c>
      <c r="C19" s="26">
        <f>C8-C18</f>
        <v/>
      </c>
      <c r="D19" s="26">
        <f>D8-D18</f>
        <v/>
      </c>
      <c r="E19" s="26">
        <f>E8-E18</f>
        <v/>
      </c>
      <c r="F19" s="26">
        <f>F8-F18</f>
        <v/>
      </c>
      <c r="G19" s="26">
        <f>G8-G18</f>
        <v/>
      </c>
      <c r="H19" s="26">
        <f>H8-H18</f>
        <v/>
      </c>
      <c r="I19" s="26">
        <f>I8-I18</f>
        <v/>
      </c>
      <c r="J19" s="26">
        <f>J8-J18</f>
        <v/>
      </c>
      <c r="K19" s="26">
        <f>K8-K18</f>
        <v/>
      </c>
      <c r="L19" s="26">
        <f>L8-L18</f>
        <v/>
      </c>
    </row>
    <row r="20">
      <c r="B20" s="10" t="inlineStr">
        <is>
          <t>Allocated equity per unit (credit + op-risk RWA × capital ratio)</t>
        </is>
      </c>
      <c r="C20" s="46">
        <f>'Inputs'!$F$92*C8*'Inputs'!$F$93</f>
        <v/>
      </c>
      <c r="D20" s="46">
        <f>'Inputs'!$F$92*D8*'Inputs'!$F$93</f>
        <v/>
      </c>
      <c r="E20" s="46">
        <f>'Inputs'!$F$92*E8*'Inputs'!$F$93</f>
        <v/>
      </c>
      <c r="F20" s="46">
        <f>('1. Customers'!$D$15*'Inputs'!$F$87+'Inputs'!$F$92*F8)*'Inputs'!$F$93</f>
        <v/>
      </c>
      <c r="G20" s="46">
        <f>('1. Customers'!$D$16*'Inputs'!$F$88+'Inputs'!$F$92*G8)*'Inputs'!$F$93</f>
        <v/>
      </c>
      <c r="H20" s="46">
        <f>('1. Customers'!$D$17*'Inputs'!$F$89+'Inputs'!$F$92*H8)*'Inputs'!$F$93</f>
        <v/>
      </c>
      <c r="I20" s="46">
        <f>('1. Customers'!$D$18*'Inputs'!$F$90+'Inputs'!$F$92*I8)*'Inputs'!$F$93</f>
        <v/>
      </c>
      <c r="J20" s="46">
        <f>('1. Customers'!$D$19*'Inputs'!$F$91+'Inputs'!$F$92*J8)*'Inputs'!$F$93</f>
        <v/>
      </c>
      <c r="K20" s="46">
        <f>'Inputs'!$F$92*K8*'Inputs'!$F$93</f>
        <v/>
      </c>
    </row>
    <row r="21">
      <c r="B21" s="10" t="inlineStr">
        <is>
          <t>Net capital charge per unit (equity × (CoE − Bank Rate))</t>
        </is>
      </c>
      <c r="C21" s="46">
        <f>C20*('Inputs'!$F$94-'Inputs'!$F$8)</f>
        <v/>
      </c>
      <c r="D21" s="46">
        <f>D20*('Inputs'!$F$94-'Inputs'!$F$8)</f>
        <v/>
      </c>
      <c r="E21" s="46">
        <f>E20*('Inputs'!$F$94-'Inputs'!$F$8)</f>
        <v/>
      </c>
      <c r="F21" s="46">
        <f>F20*('Inputs'!$F$94-'Inputs'!$F$8)</f>
        <v/>
      </c>
      <c r="G21" s="46">
        <f>G20*('Inputs'!$F$94-'Inputs'!$F$8)</f>
        <v/>
      </c>
      <c r="H21" s="46">
        <f>H20*('Inputs'!$F$94-'Inputs'!$F$8)</f>
        <v/>
      </c>
      <c r="I21" s="46">
        <f>I20*('Inputs'!$F$94-'Inputs'!$F$8)</f>
        <v/>
      </c>
      <c r="J21" s="46">
        <f>J20*('Inputs'!$F$94-'Inputs'!$F$8)</f>
        <v/>
      </c>
      <c r="K21" s="46">
        <f>K20*('Inputs'!$F$94-'Inputs'!$F$8)</f>
        <v/>
      </c>
    </row>
    <row r="22">
      <c r="B22" s="60" t="inlineStr">
        <is>
          <t>ECONOMIC CONTRIBUTION PER UNIT (pre-tax, before joint costs)</t>
        </is>
      </c>
      <c r="C22" s="47">
        <f>C19-C21</f>
        <v/>
      </c>
      <c r="D22" s="47">
        <f>D19-D21</f>
        <v/>
      </c>
      <c r="E22" s="47">
        <f>E19-E21</f>
        <v/>
      </c>
      <c r="F22" s="47">
        <f>F19-F21</f>
        <v/>
      </c>
      <c r="G22" s="47">
        <f>G19-G21</f>
        <v/>
      </c>
      <c r="H22" s="47">
        <f>H19-H21</f>
        <v/>
      </c>
      <c r="I22" s="47">
        <f>I19-I21</f>
        <v/>
      </c>
      <c r="J22" s="47">
        <f>J19-J21</f>
        <v/>
      </c>
      <c r="K22" s="47">
        <f>K19-K21</f>
        <v/>
      </c>
    </row>
    <row r="23">
      <c r="B23" s="10" t="inlineStr">
        <is>
          <t>Economic contribution margin (% of revenue)</t>
        </is>
      </c>
      <c r="C23" s="48">
        <f>IF(C8=0,0,C22/C8)</f>
        <v/>
      </c>
      <c r="D23" s="48">
        <f>IF(D8=0,0,D22/D8)</f>
        <v/>
      </c>
      <c r="E23" s="48">
        <f>IF(E8=0,0,E22/E8)</f>
        <v/>
      </c>
      <c r="F23" s="48">
        <f>IF(F8=0,0,F22/F8)</f>
        <v/>
      </c>
      <c r="G23" s="48">
        <f>IF(G8=0,0,G22/G8)</f>
        <v/>
      </c>
      <c r="H23" s="48">
        <f>IF(H8=0,0,H22/H8)</f>
        <v/>
      </c>
      <c r="I23" s="48">
        <f>IF(I8=0,0,I22/I8)</f>
        <v/>
      </c>
      <c r="J23" s="48">
        <f>IF(J8=0,0,J22/J8)</f>
        <v/>
      </c>
      <c r="K23" s="48">
        <f>IF(K8=0,0,K22/K8)</f>
        <v/>
      </c>
    </row>
    <row r="24">
      <c r="B24" s="42" t="inlineStr">
        <is>
          <t>Total contribution (£/yr)</t>
        </is>
      </c>
      <c r="C24" s="26">
        <f>C19*C6</f>
        <v/>
      </c>
      <c r="D24" s="26">
        <f>D19*D6</f>
        <v/>
      </c>
      <c r="E24" s="26">
        <f>E19*E6</f>
        <v/>
      </c>
      <c r="F24" s="26">
        <f>F19*F6</f>
        <v/>
      </c>
      <c r="G24" s="26">
        <f>G19*G6</f>
        <v/>
      </c>
      <c r="H24" s="26">
        <f>H19*H6</f>
        <v/>
      </c>
      <c r="I24" s="26">
        <f>I19*I6</f>
        <v/>
      </c>
      <c r="J24" s="26">
        <f>J19*J6</f>
        <v/>
      </c>
      <c r="K24" s="26">
        <f>K19*K6</f>
        <v/>
      </c>
      <c r="L24" s="47">
        <f>SUM(C24:K24)</f>
        <v/>
      </c>
    </row>
    <row r="25">
      <c r="B25" s="42" t="inlineStr">
        <is>
          <t>Total economic contribution (£/yr)</t>
        </is>
      </c>
      <c r="C25" s="26">
        <f>C22*C6</f>
        <v/>
      </c>
      <c r="D25" s="26">
        <f>D22*D6</f>
        <v/>
      </c>
      <c r="E25" s="26">
        <f>E22*E6</f>
        <v/>
      </c>
      <c r="F25" s="26">
        <f>F22*F6</f>
        <v/>
      </c>
      <c r="G25" s="26">
        <f>G22*G6</f>
        <v/>
      </c>
      <c r="H25" s="26">
        <f>H22*H6</f>
        <v/>
      </c>
      <c r="I25" s="26">
        <f>I22*I6</f>
        <v/>
      </c>
      <c r="J25" s="26">
        <f>J22*J6</f>
        <v/>
      </c>
      <c r="K25" s="26">
        <f>K22*K6</f>
        <v/>
      </c>
      <c r="L25" s="47">
        <f>SUM(C25:K25)</f>
        <v/>
      </c>
    </row>
    <row r="27">
      <c r="B27" s="7" t="inlineStr">
        <is>
          <t>BRIDGE TO THE UNIT P&amp;L</t>
        </is>
      </c>
      <c r="C27" s="8" t="inlineStr"/>
      <c r="D27" s="8" t="inlineStr"/>
      <c r="E27" s="8" t="inlineStr"/>
      <c r="F27" s="8" t="inlineStr"/>
      <c r="G27" s="8" t="inlineStr"/>
      <c r="H27" s="8" t="inlineStr"/>
      <c r="I27" s="8" t="inlineStr"/>
      <c r="J27" s="8" t="inlineStr"/>
      <c r="K27" s="8" t="inlineStr"/>
      <c r="L27" s="8" t="inlineStr"/>
    </row>
    <row r="28">
      <c r="B28" s="10" t="inlineStr">
        <is>
          <t>Total contribution across products</t>
        </is>
      </c>
      <c r="C28" s="46">
        <f>L24</f>
        <v/>
      </c>
    </row>
    <row r="29">
      <c r="B29" s="10" t="inlineStr">
        <is>
          <t>Less: RM defence (tested retention spend, held at centre level)</t>
        </is>
      </c>
      <c r="C29" s="46">
        <f>-'3. HR &amp; Activity'!$H$48</f>
        <v/>
      </c>
    </row>
    <row r="30">
      <c r="B30" s="10" t="inlineStr">
        <is>
          <t>Less: unallocated joint costs (no causal driver — brand, exec, finance, platform build)</t>
        </is>
      </c>
      <c r="C30" s="46">
        <f>-'4. Running Costs'!$C$31</f>
        <v/>
      </c>
    </row>
    <row r="31">
      <c r="B31" s="10" t="inlineStr">
        <is>
          <t>Less: change-the-bank / transformation (portfolio hurdle — no product driver)</t>
        </is>
      </c>
      <c r="C31" s="46">
        <f>-'4. Running Costs'!$C$19</f>
        <v/>
      </c>
    </row>
    <row r="32">
      <c r="B32" s="60" t="inlineStr">
        <is>
          <t>Operating profit before capital charges</t>
        </is>
      </c>
      <c r="C32" s="47">
        <f>C28+C29+C30+C31</f>
        <v/>
      </c>
    </row>
    <row r="33">
      <c r="B33" s="10" t="inlineStr">
        <is>
          <t>Check vs P&amp;L (income excl. equity benefit − EL − opex) — should be zero</t>
        </is>
      </c>
      <c r="C33" s="46">
        <f>C32-('2. Revenues'!$M$14-'5. Risk &amp; Capital'!$G$10-'4. Running Costs'!$C$20)</f>
        <v/>
      </c>
      <c r="D33" s="14" t="inlineStr">
        <is>
          <t>✓ ties out</t>
        </is>
      </c>
    </row>
    <row r="34">
      <c r="B34" s="10" t="inlineStr">
        <is>
          <t>Memo — value of preventing ONE customer churning (contribution annuity over remaining life + avoided replacement: acquisition + onboarding + KYC)</t>
        </is>
      </c>
      <c r="C34" s="26">
        <f>C28/'1. Customers'!$C$4*'Inputs'!$F$169+'Inputs'!$F$136+'Inputs'!$F$105*'3. HR &amp; Activity'!$C$7+'Inputs'!$F$134</f>
        <v/>
      </c>
      <c r="D34" s="14" t="inlineStr">
        <is>
          <t>£ per customer saved — the retention business case runs on this</t>
        </is>
      </c>
    </row>
    <row r="35">
      <c r="B35" s="10" t="inlineStr">
        <is>
          <t>Memo — RM system payback: defence value (defended customers × value of one prevented churn)</t>
        </is>
      </c>
      <c r="C35" s="46">
        <f>'1. Customers'!$C$7*(C28/'1. Customers'!$C$4*'Inputs'!$F$169+'Inputs'!$F$136+'Inputs'!$F$105*'3. HR &amp; Activity'!$C$7+'Inputs'!$F$134)</f>
        <v/>
      </c>
      <c r="D35" s="14" t="inlineStr">
        <is>
          <t>vs defence cost:</t>
        </is>
      </c>
      <c r="E35" s="59">
        <f>'3. HR &amp; Activity'!$H$48</f>
        <v/>
      </c>
    </row>
    <row r="36">
      <c r="B36" s="10" t="inlineStr">
        <is>
          <t>Memo — stewardship payback: expected losses avoided (tab 3) vs stewardship cost</t>
        </is>
      </c>
      <c r="C36" s="59">
        <f>'3. HR &amp; Activity'!$G$65</f>
        <v/>
      </c>
      <c r="D36" s="14" t="inlineStr">
        <is>
          <t>vs stewardship cost:</t>
        </is>
      </c>
      <c r="E36" s="59">
        <f>'3. HR &amp; Activity'!$H$47</f>
        <v/>
      </c>
    </row>
    <row r="38">
      <c r="B38" s="7" t="inlineStr">
        <is>
          <t>MEMO — FULL ABSORPTION PER SOURCE METHODOLOGY (joint costs spread per unit, as the IFC doc divides head-office costs)</t>
        </is>
      </c>
      <c r="C38" s="8" t="inlineStr"/>
      <c r="D38" s="8" t="inlineStr"/>
      <c r="E38" s="8" t="inlineStr"/>
      <c r="F38" s="8" t="inlineStr"/>
      <c r="G38" s="8" t="inlineStr"/>
      <c r="H38" s="8" t="inlineStr"/>
      <c r="I38" s="8" t="inlineStr"/>
      <c r="J38" s="8" t="inlineStr"/>
      <c r="K38" s="8" t="inlineStr"/>
      <c r="L38" s="8" t="inlineStr"/>
    </row>
    <row r="39">
      <c r="B39" s="10" t="inlineStr">
        <is>
          <t>Joint cost absorbed per unit (flat per-unit spread)</t>
        </is>
      </c>
      <c r="C39" s="46">
        <f>'4. Running Costs'!$C$31/L6</f>
        <v/>
      </c>
      <c r="D39" s="46">
        <f>'4. Running Costs'!$C$31/L6</f>
        <v/>
      </c>
      <c r="E39" s="46">
        <f>'4. Running Costs'!$C$31/L6</f>
        <v/>
      </c>
      <c r="F39" s="46">
        <f>'4. Running Costs'!$C$31/L6</f>
        <v/>
      </c>
      <c r="G39" s="46">
        <f>'4. Running Costs'!$C$31/L6</f>
        <v/>
      </c>
      <c r="H39" s="46">
        <f>'4. Running Costs'!$C$31/L6</f>
        <v/>
      </c>
      <c r="I39" s="46">
        <f>'4. Running Costs'!$C$31/L6</f>
        <v/>
      </c>
      <c r="J39" s="46">
        <f>'4. Running Costs'!$C$31/L6</f>
        <v/>
      </c>
      <c r="K39" s="46">
        <f>'4. Running Costs'!$C$31/L6</f>
        <v/>
      </c>
      <c r="L39" s="46">
        <f>'4. Running Costs'!$C$31/L6</f>
        <v/>
      </c>
    </row>
    <row r="40">
      <c r="B40" s="10" t="inlineStr">
        <is>
          <t>Fully-absorbed profit per unit (contribution − joint absorption)</t>
        </is>
      </c>
      <c r="C40" s="46">
        <f>C19-C39</f>
        <v/>
      </c>
      <c r="D40" s="46">
        <f>D19-D39</f>
        <v/>
      </c>
      <c r="E40" s="46">
        <f>E19-E39</f>
        <v/>
      </c>
      <c r="F40" s="46">
        <f>F19-F39</f>
        <v/>
      </c>
      <c r="G40" s="46">
        <f>G19-G39</f>
        <v/>
      </c>
      <c r="H40" s="46">
        <f>H19-H39</f>
        <v/>
      </c>
      <c r="I40" s="46">
        <f>I19-I39</f>
        <v/>
      </c>
      <c r="J40" s="46">
        <f>J19-J39</f>
        <v/>
      </c>
      <c r="K40" s="46">
        <f>K19-K39</f>
        <v/>
      </c>
    </row>
    <row r="42">
      <c r="B42" s="5" t="inlineStr">
        <is>
          <t>Cost treatment follows the source methodology's own hybrid: activity drivers wherever a causal link to customers or transactions exists ('whenever possible' — Simanis IFC Technical Doc Part II), head-office residuals without a driver held as an unallocated share rather than forced into products. Product decisions should run on CONTRIBUTION (it changes when the decision changes); the full-absorption memo shows required pricing coverage.</t>
        </is>
      </c>
    </row>
    <row r="43"/>
    <row r="44"/>
  </sheetData>
  <mergeCells count="1">
    <mergeCell ref="B42:L4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E47"/>
  <sheetViews>
    <sheetView workbookViewId="0">
      <pane ySplit="3" topLeftCell="A4" activePane="bottomLeft" state="frozen"/>
      <selection pane="bottomLeft" activeCell="A1" sqref="A1"/>
    </sheetView>
  </sheetViews>
  <sheetFormatPr baseColWidth="8" defaultRowHeight="15"/>
  <cols>
    <col width="2" customWidth="1" min="1" max="1"/>
    <col width="52" customWidth="1" min="2" max="2"/>
    <col width="16" customWidth="1" min="3" max="3"/>
    <col width="13" customWidth="1" min="4" max="4"/>
    <col width="66" customWidth="1" min="5" max="5"/>
  </cols>
  <sheetData>
    <row r="1">
      <c r="B1" s="1" t="inlineStr">
        <is>
          <t>STEP 5 — WHOLE-COST P&amp;L: ONE OPERATING UNIT AT STEADY STATE</t>
        </is>
      </c>
    </row>
    <row r="3">
      <c r="B3" s="10" t="inlineStr">
        <is>
          <t>Net interest income (vs funds transfer price)</t>
        </is>
      </c>
      <c r="C3" s="46">
        <f>'2. Revenues'!$K$14</f>
        <v/>
      </c>
    </row>
    <row r="4">
      <c r="B4" s="10" t="inlineStr">
        <is>
          <t>Fee &amp; commission income</t>
        </is>
      </c>
      <c r="C4" s="46">
        <f>'2. Revenues'!$L$14</f>
        <v/>
      </c>
    </row>
    <row r="5">
      <c r="B5" s="10" t="inlineStr">
        <is>
          <t>Equity investment benefit</t>
        </is>
      </c>
      <c r="C5" s="46">
        <f>'5. Risk &amp; Capital'!$C$18</f>
        <v/>
      </c>
      <c r="E5" s="5" t="inlineStr">
        <is>
          <t>Allocated equity earning Bank Rate</t>
        </is>
      </c>
    </row>
    <row r="6">
      <c r="B6" s="60" t="inlineStr">
        <is>
          <t>TOTAL OPERATING INCOME</t>
        </is>
      </c>
      <c r="C6" s="47">
        <f>'7. P&amp;L'!$C$3+'7. P&amp;L'!$C$4+'7. P&amp;L'!$C$5</f>
        <v/>
      </c>
    </row>
    <row r="7">
      <c r="B7" s="10" t="inlineStr">
        <is>
          <t>Expected credit losses</t>
        </is>
      </c>
      <c r="C7" s="46">
        <f>-'5. Risk &amp; Capital'!$G$10</f>
        <v/>
      </c>
    </row>
    <row r="8">
      <c r="B8" s="60" t="inlineStr">
        <is>
          <t>NET OPERATING INCOME</t>
        </is>
      </c>
      <c r="C8" s="47">
        <f>'7. P&amp;L'!$C$6+'7. P&amp;L'!$C$7</f>
        <v/>
      </c>
    </row>
    <row r="9">
      <c r="B9" s="10" t="inlineStr">
        <is>
          <t>Staff costs (unit)</t>
        </is>
      </c>
      <c r="C9" s="46">
        <f>-'4. Running Costs'!$C$3</f>
        <v/>
      </c>
    </row>
    <row r="10">
      <c r="B10" s="10" t="inlineStr">
        <is>
          <t>Premises &amp; depreciation</t>
        </is>
      </c>
      <c r="C10" s="46">
        <f>-'4. Running Costs'!$C$4-'4. Running Costs'!$C$5</f>
        <v/>
      </c>
    </row>
    <row r="11">
      <c r="B11" s="10" t="inlineStr">
        <is>
          <t>Other direct costs &amp; unit platform</t>
        </is>
      </c>
      <c r="C11" s="46">
        <f>-'4. Running Costs'!$C$6-'4. Running Costs'!$C$7</f>
        <v/>
      </c>
    </row>
    <row r="12">
      <c r="B12" s="10" t="inlineStr">
        <is>
          <t>Fraud &amp; payment losses (incl. APP reimbursement)</t>
        </is>
      </c>
      <c r="C12" s="46">
        <f>-'4. Running Costs'!$C$8</f>
        <v/>
      </c>
    </row>
    <row r="13">
      <c r="B13" s="10" t="inlineStr">
        <is>
          <t>FSCS deposit-protection levy</t>
        </is>
      </c>
      <c r="C13" s="46">
        <f>-'4. Running Costs'!$C$9</f>
        <v/>
      </c>
    </row>
    <row r="14">
      <c r="B14" s="10" t="inlineStr">
        <is>
          <t>Share of head-office costs</t>
        </is>
      </c>
      <c r="C14" s="46">
        <f>-'4. Running Costs'!$C$17</f>
        <v/>
      </c>
    </row>
    <row r="15">
      <c r="B15" s="10" t="inlineStr">
        <is>
          <t>Change-the-bank / transformation</t>
        </is>
      </c>
      <c r="C15" s="46">
        <f>-'4. Running Costs'!$C$19</f>
        <v/>
      </c>
      <c r="E15" s="5" t="inlineStr">
        <is>
          <t>Portfolio hurdle — not attributed to products</t>
        </is>
      </c>
    </row>
    <row r="16">
      <c r="B16" s="60" t="inlineStr">
        <is>
          <t>TOTAL OPERATING COSTS</t>
        </is>
      </c>
      <c r="C16" s="47">
        <f>'7. P&amp;L'!$C$9+'7. P&amp;L'!$C$10+'7. P&amp;L'!$C$11+'7. P&amp;L'!$C$12+'7. P&amp;L'!$C$13+'7. P&amp;L'!$C$14+'7. P&amp;L'!$C$15</f>
        <v/>
      </c>
    </row>
    <row r="17">
      <c r="B17" s="10" t="inlineStr">
        <is>
          <t xml:space="preserve">   memo: attributed to products by driver (ABC — tab 6)</t>
        </is>
      </c>
      <c r="C17" s="46">
        <f>'7. P&amp;L'!$C$16+'4. Running Costs'!$C$31+'3. HR &amp; Activity'!$H$48</f>
        <v/>
      </c>
      <c r="E17" s="5" t="inlineStr">
        <is>
          <t>Servicing, RM origination &amp; stewardship, supervision &amp; workplace, account infrastructure</t>
        </is>
      </c>
    </row>
    <row r="18">
      <c r="B18" s="10" t="inlineStr">
        <is>
          <t xml:space="preserve">   memo: RM defence — tested retention spend at centre level</t>
        </is>
      </c>
      <c r="C18" s="46">
        <f>-'3. HR &amp; Activity'!$H$48</f>
        <v/>
      </c>
      <c r="E18" s="5" t="inlineStr">
        <is>
          <t>Pays back through reduced churn (see bridge memo, tab 6)</t>
        </is>
      </c>
    </row>
    <row r="19">
      <c r="B19" s="10" t="inlineStr">
        <is>
          <t xml:space="preserve">   memo: unallocated joint costs (portfolio hurdle)</t>
        </is>
      </c>
      <c r="C19" s="46">
        <f>-'4. Running Costs'!$C$31</f>
        <v/>
      </c>
      <c r="E19" s="5" t="inlineStr">
        <is>
          <t>Brand, exec, finance, platform build — no causal driver; total contribution must clear these</t>
        </is>
      </c>
    </row>
    <row r="20">
      <c r="B20" s="60" t="inlineStr">
        <is>
          <t>PROFIT BEFORE TAX</t>
        </is>
      </c>
      <c r="C20" s="47">
        <f>'7. P&amp;L'!$C$8+'7. P&amp;L'!$C$16</f>
        <v/>
      </c>
    </row>
    <row r="21">
      <c r="B21" s="10" t="inlineStr">
        <is>
          <t>Tax (corporation tax + bank surcharge)</t>
        </is>
      </c>
      <c r="C21" s="46">
        <f>-'7. P&amp;L'!$C$20*'Inputs'!$F$95</f>
        <v/>
      </c>
    </row>
    <row r="22">
      <c r="B22" s="60" t="inlineStr">
        <is>
          <t>PROFIT AFTER TAX</t>
        </is>
      </c>
      <c r="C22" s="47">
        <f>'7. P&amp;L'!$C$20+'7. P&amp;L'!$C$21</f>
        <v/>
      </c>
    </row>
    <row r="23">
      <c r="B23" s="10" t="inlineStr">
        <is>
          <t>Required return on allocated equity (post-tax)</t>
        </is>
      </c>
      <c r="C23" s="46">
        <f>-'5. Risk &amp; Capital'!$C$19</f>
        <v/>
      </c>
      <c r="E23" s="5" t="inlineStr">
        <is>
          <t>Simanis second-level investment cost: what shareholders must earn</t>
        </is>
      </c>
    </row>
    <row r="24">
      <c r="B24" s="2" t="inlineStr">
        <is>
          <t>ECONOMIC PROFIT (value created above cost of equity)</t>
        </is>
      </c>
      <c r="C24" s="68">
        <f>'7. P&amp;L'!$C$22+'7. P&amp;L'!$C$23</f>
        <v/>
      </c>
    </row>
    <row r="26">
      <c r="B26" s="7" t="inlineStr">
        <is>
          <t>KEY RATIOS &amp; BENCHMARKS</t>
        </is>
      </c>
      <c r="C26" s="8" t="inlineStr"/>
      <c r="D26" s="8" t="inlineStr"/>
      <c r="E26" s="8" t="inlineStr"/>
    </row>
    <row r="27">
      <c r="B27" s="10" t="inlineStr">
        <is>
          <t>Customers</t>
        </is>
      </c>
      <c r="C27" s="44">
        <f>'1. Customers'!$C$4</f>
        <v/>
      </c>
      <c r="E27" s="5" t="inlineStr"/>
    </row>
    <row r="28">
      <c r="B28" s="10" t="inlineStr">
        <is>
          <t>Revenue per customer</t>
        </is>
      </c>
      <c r="C28" s="46">
        <f>'7. P&amp;L'!$C$6/'1. Customers'!$C$4</f>
        <v/>
      </c>
      <c r="E28" s="5" t="inlineStr"/>
    </row>
    <row r="29">
      <c r="B29" s="10" t="inlineStr">
        <is>
          <t>Operating cost per customer</t>
        </is>
      </c>
      <c r="C29" s="46">
        <f>-'7. P&amp;L'!$C$16/'1. Customers'!$C$4</f>
        <v/>
      </c>
      <c r="E29" s="5" t="inlineStr"/>
    </row>
    <row r="30">
      <c r="B30" s="10" t="inlineStr">
        <is>
          <t>Cost:income ratio</t>
        </is>
      </c>
      <c r="C30" s="48">
        <f>-'7. P&amp;L'!$C$16/'7. P&amp;L'!$C$6</f>
        <v/>
      </c>
      <c r="E30" s="5" t="inlineStr">
        <is>
          <t>Specialist SME banks: OakNorth ~26%, Allica ~50% while scaling; majors' business banking 50%+</t>
        </is>
      </c>
    </row>
    <row r="31">
      <c r="B31" s="10" t="inlineStr">
        <is>
          <t>Cost of risk (EL / lending balances)</t>
        </is>
      </c>
      <c r="C31" s="16">
        <f>-'7. P&amp;L'!$C$7/'1. Customers'!$E$22</f>
        <v/>
      </c>
      <c r="E31" s="5" t="inlineStr">
        <is>
          <t>BoE: SME impairments are the biggest drag on SME lending returns</t>
        </is>
      </c>
    </row>
    <row r="32">
      <c r="B32" s="10" t="inlineStr">
        <is>
          <t>NII / lending balances (indicative NIM)</t>
        </is>
      </c>
      <c r="C32" s="16">
        <f>'7. P&amp;L'!$C$3/'1. Customers'!$E$22</f>
        <v/>
      </c>
      <c r="E32" s="5" t="inlineStr"/>
    </row>
    <row r="33">
      <c r="B33" s="10" t="inlineStr">
        <is>
          <t>Return on allocated equity (RoE)</t>
        </is>
      </c>
      <c r="C33" s="48">
        <f>'7. P&amp;L'!$C$22/'5. Risk &amp; Capital'!$C$17</f>
        <v/>
      </c>
      <c r="E33" s="5" t="inlineStr">
        <is>
          <t>Strong SME specialists earn 15–25%; sector cost of equity ~10–14%</t>
        </is>
      </c>
    </row>
    <row r="34">
      <c r="B34" s="10" t="inlineStr">
        <is>
          <t>Loan-to-deposit ratio</t>
        </is>
      </c>
      <c r="C34" s="48">
        <f>'1. Customers'!$E$22/'1. Customers'!$E$21</f>
        <v/>
      </c>
      <c r="E34" s="5" t="inlineStr"/>
    </row>
    <row r="36">
      <c r="B36" s="7" t="inlineStr">
        <is>
          <t>COST DRIVERS (each line as % of whole costs — Simanis cost-driver analysis)</t>
        </is>
      </c>
      <c r="C36" s="8" t="inlineStr"/>
      <c r="D36" s="8" t="inlineStr"/>
      <c r="E36" s="8" t="inlineStr"/>
    </row>
    <row r="37">
      <c r="B37" s="10" t="inlineStr">
        <is>
          <t>Expected credit losses</t>
        </is>
      </c>
      <c r="C37" s="46">
        <f>-'7. P&amp;L'!$C$7</f>
        <v/>
      </c>
      <c r="D37" s="48">
        <f>-'7. P&amp;L'!$C$7/(-'7. P&amp;L'!$C$7-'7. P&amp;L'!$C$16)</f>
        <v/>
      </c>
    </row>
    <row r="38">
      <c r="B38" s="10" t="inlineStr">
        <is>
          <t>Staff costs (unit)</t>
        </is>
      </c>
      <c r="C38" s="46">
        <f>-'7. P&amp;L'!$C$9</f>
        <v/>
      </c>
      <c r="D38" s="48">
        <f>-'7. P&amp;L'!$C$9/(-'7. P&amp;L'!$C$7-'7. P&amp;L'!$C$16)</f>
        <v/>
      </c>
    </row>
    <row r="39">
      <c r="B39" s="10" t="inlineStr">
        <is>
          <t>Premises &amp; depreciation</t>
        </is>
      </c>
      <c r="C39" s="46">
        <f>-'7. P&amp;L'!$C$10</f>
        <v/>
      </c>
      <c r="D39" s="48">
        <f>-'7. P&amp;L'!$C$10/(-'7. P&amp;L'!$C$7-'7. P&amp;L'!$C$16)</f>
        <v/>
      </c>
    </row>
    <row r="40">
      <c r="B40" s="10" t="inlineStr">
        <is>
          <t>Other direct &amp; unit platform</t>
        </is>
      </c>
      <c r="C40" s="46">
        <f>-'7. P&amp;L'!$C$11</f>
        <v/>
      </c>
      <c r="D40" s="48">
        <f>-'7. P&amp;L'!$C$11/(-'7. P&amp;L'!$C$7-'7. P&amp;L'!$C$16)</f>
        <v/>
      </c>
    </row>
    <row r="41">
      <c r="B41" s="10" t="inlineStr">
        <is>
          <t>Fraud &amp; payment losses</t>
        </is>
      </c>
      <c r="C41" s="46">
        <f>-'7. P&amp;L'!$C$12</f>
        <v/>
      </c>
      <c r="D41" s="48">
        <f>-'7. P&amp;L'!$C$12/(-'7. P&amp;L'!$C$7-'7. P&amp;L'!$C$16)</f>
        <v/>
      </c>
    </row>
    <row r="42">
      <c r="B42" s="10" t="inlineStr">
        <is>
          <t>FSCS levy</t>
        </is>
      </c>
      <c r="C42" s="46">
        <f>-'7. P&amp;L'!$C$13</f>
        <v/>
      </c>
      <c r="D42" s="48">
        <f>-'7. P&amp;L'!$C$13/(-'7. P&amp;L'!$C$7-'7. P&amp;L'!$C$16)</f>
        <v/>
      </c>
    </row>
    <row r="43">
      <c r="B43" s="10" t="inlineStr">
        <is>
          <t>Head-office allocation</t>
        </is>
      </c>
      <c r="C43" s="46">
        <f>-'7. P&amp;L'!$C$14</f>
        <v/>
      </c>
      <c r="D43" s="48">
        <f>-'7. P&amp;L'!$C$14/(-'7. P&amp;L'!$C$7-'7. P&amp;L'!$C$16)</f>
        <v/>
      </c>
    </row>
    <row r="44">
      <c r="B44" s="10" t="inlineStr">
        <is>
          <t>Change-the-bank / transformation</t>
        </is>
      </c>
      <c r="C44" s="46">
        <f>-'7. P&amp;L'!$C$15</f>
        <v/>
      </c>
      <c r="D44" s="48">
        <f>-'7. P&amp;L'!$C$15/(-'7. P&amp;L'!$C$7-'7. P&amp;L'!$C$16)</f>
        <v/>
      </c>
    </row>
    <row r="45">
      <c r="B45" s="60" t="inlineStr">
        <is>
          <t>WHOLE COSTS (running + risk)</t>
        </is>
      </c>
      <c r="C45" s="47">
        <f>(-'7. P&amp;L'!$C$7-'7. P&amp;L'!$C$16)</f>
        <v/>
      </c>
      <c r="D45" s="57" t="n">
        <v>1</v>
      </c>
    </row>
    <row r="47">
      <c r="B47" s="5" t="inlineStr">
        <is>
          <t>The largest percentages are the leverage points: trace them back to transaction intensity (I) or customer load (L) on the HR &amp; Activity sheet and innovate there first.</t>
        </is>
      </c>
    </row>
  </sheetData>
  <mergeCells count="1">
    <mergeCell ref="B47:E4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H73"/>
  <sheetViews>
    <sheetView workbookViewId="0">
      <pane ySplit="3" topLeftCell="A4" activePane="bottomLeft" state="frozen"/>
      <selection pane="bottomLeft" activeCell="A1" sqref="A1"/>
    </sheetView>
  </sheetViews>
  <sheetFormatPr baseColWidth="8" defaultRowHeight="15"/>
  <cols>
    <col width="2" customWidth="1" min="1" max="1"/>
    <col width="48" customWidth="1" min="2" max="2"/>
    <col width="16" customWidth="1" min="3" max="3"/>
    <col width="13" customWidth="1" min="4" max="4"/>
    <col width="15" customWidth="1" min="5" max="5"/>
    <col width="15" customWidth="1" min="6" max="6"/>
    <col width="12" customWidth="1" min="7" max="7"/>
    <col width="60" customWidth="1" min="8" max="8"/>
  </cols>
  <sheetData>
    <row r="1">
      <c r="B1" s="1" t="inlineStr">
        <is>
          <t>ORG STRUCTURE — WHOLE BANK AT SCALE</t>
        </is>
      </c>
    </row>
    <row r="2">
      <c r="B2" s="14" t="inlineStr">
        <is>
          <t>Front-line FTEs come straight from the activity drivers (tab 3) × number of centres; head-office FTEs are backed out of the per-customer head-office allocations (tab 4).</t>
        </is>
      </c>
    </row>
    <row r="4">
      <c r="B4" s="7" t="inlineStr">
        <is>
          <t>BANK AT SCALE</t>
        </is>
      </c>
      <c r="C4" s="8" t="inlineStr"/>
      <c r="D4" s="8" t="inlineStr"/>
      <c r="E4" s="8" t="inlineStr"/>
      <c r="F4" s="8" t="inlineStr"/>
      <c r="G4" s="8" t="inlineStr"/>
      <c r="H4" s="8" t="inlineStr"/>
    </row>
    <row r="5">
      <c r="B5" s="10" t="inlineStr">
        <is>
          <t>Regional business centres</t>
        </is>
      </c>
      <c r="C5" s="58">
        <f>'Inputs'!$F$172</f>
        <v/>
      </c>
    </row>
    <row r="6">
      <c r="B6" s="10" t="inlineStr">
        <is>
          <t>Customers</t>
        </is>
      </c>
      <c r="C6" s="44">
        <f>'Inputs'!$F$172*'1. Customers'!$C$4</f>
        <v/>
      </c>
    </row>
    <row r="7">
      <c r="B7" s="10" t="inlineStr">
        <is>
          <t>Lending balances</t>
        </is>
      </c>
      <c r="C7" s="46">
        <f>'Inputs'!$F$172*'1. Customers'!$E$22</f>
        <v/>
      </c>
    </row>
    <row r="8">
      <c r="B8" s="10" t="inlineStr">
        <is>
          <t>Customer deposits</t>
        </is>
      </c>
      <c r="C8" s="46">
        <f>'Inputs'!$F$172*'1. Customers'!$E$21</f>
        <v/>
      </c>
    </row>
    <row r="9">
      <c r="B9" s="10" t="inlineStr">
        <is>
          <t>Total operating income</t>
        </is>
      </c>
      <c r="C9" s="46">
        <f>'Inputs'!$F$172*'7. P&amp;L'!$C$6</f>
        <v/>
      </c>
    </row>
    <row r="10">
      <c r="B10" s="10" t="inlineStr">
        <is>
          <t>Total operating costs</t>
        </is>
      </c>
      <c r="C10" s="46">
        <f>'Inputs'!$F$172*-'7. P&amp;L'!$C$16</f>
        <v/>
      </c>
    </row>
    <row r="12">
      <c r="B12" s="7" t="inlineStr">
        <is>
          <t>FRONT LINE — ROLE TOTALS (derived from activity drivers; organised into segment pods below)</t>
        </is>
      </c>
      <c r="C12" s="8" t="inlineStr"/>
      <c r="D12" s="8" t="inlineStr"/>
      <c r="E12" s="8" t="inlineStr"/>
      <c r="F12" s="8" t="inlineStr"/>
      <c r="G12" s="8" t="inlineStr"/>
      <c r="H12" s="8" t="inlineStr"/>
    </row>
    <row r="13">
      <c r="B13" s="45" t="inlineStr">
        <is>
          <t>Role</t>
        </is>
      </c>
      <c r="C13" s="45" t="inlineStr">
        <is>
          <t>FTE per centre</t>
        </is>
      </c>
      <c r="D13" s="45" t="inlineStr">
        <is>
          <t>FTE at scale</t>
        </is>
      </c>
      <c r="E13" s="45" t="inlineStr">
        <is>
          <t>Headcount (rounded)</t>
        </is>
      </c>
      <c r="F13" s="45" t="inlineStr"/>
      <c r="G13" s="45" t="inlineStr"/>
      <c r="H13" s="45" t="inlineStr">
        <is>
          <t>Basis</t>
        </is>
      </c>
    </row>
    <row r="14">
      <c r="B14" s="10" t="inlineStr">
        <is>
          <t>Business centre managers</t>
        </is>
      </c>
      <c r="C14" s="55">
        <f>'3. HR &amp; Activity'!$D$40</f>
        <v/>
      </c>
      <c r="D14" s="51">
        <f>C14*'Inputs'!$F$172</f>
        <v/>
      </c>
      <c r="E14" s="44">
        <f>ROUND(D14,0)</f>
        <v/>
      </c>
      <c r="H14" s="14" t="inlineStr">
        <is>
          <t>Span of control: 8 staff per manager</t>
        </is>
      </c>
    </row>
    <row r="15">
      <c r="B15" s="10" t="inlineStr">
        <is>
          <t>Relationship managers</t>
        </is>
      </c>
      <c r="C15" s="55">
        <f>'3. HR &amp; Activity'!$D$37</f>
        <v/>
      </c>
      <c r="D15" s="51">
        <f>C15*'Inputs'!$F$172</f>
        <v/>
      </c>
      <c r="E15" s="44">
        <f>ROUND(D15,0)</f>
        <v/>
      </c>
      <c r="H15" s="14" t="inlineStr">
        <is>
          <t>Customer load: 120 RM-managed customers per RM</t>
        </is>
      </c>
    </row>
    <row r="16">
      <c r="B16" s="10" t="inlineStr">
        <is>
          <t>Credit analysts / underwriters</t>
        </is>
      </c>
      <c r="C16" s="55">
        <f>'3. HR &amp; Activity'!$D$38</f>
        <v/>
      </c>
      <c r="D16" s="51">
        <f>C16*'Inputs'!$F$172</f>
        <v/>
      </c>
      <c r="E16" s="44">
        <f>ROUND(D16,0)</f>
        <v/>
      </c>
      <c r="H16" s="14" t="inlineStr">
        <is>
          <t>Underwriting, reviews, monitoring &amp; collections hours (tab 3)</t>
        </is>
      </c>
    </row>
    <row r="17">
      <c r="B17" s="10" t="inlineStr">
        <is>
          <t>Service &amp; operations staff</t>
        </is>
      </c>
      <c r="C17" s="55">
        <f>'3. HR &amp; Activity'!$D$39</f>
        <v/>
      </c>
      <c r="D17" s="51">
        <f>C17*'Inputs'!$F$172</f>
        <v/>
      </c>
      <c r="E17" s="44">
        <f>ROUND(D17,0)</f>
        <v/>
      </c>
      <c r="H17" s="14" t="inlineStr">
        <is>
          <t>Onboarding &amp; account servicing hours (tab 3)</t>
        </is>
      </c>
    </row>
    <row r="18">
      <c r="B18" s="60" t="inlineStr">
        <is>
          <t>TOTAL FRONT LINE</t>
        </is>
      </c>
      <c r="D18" s="65">
        <f>SUM(D14:D17)</f>
        <v/>
      </c>
      <c r="E18" s="43">
        <f>SUM(E14:E17)</f>
        <v/>
      </c>
    </row>
    <row r="20">
      <c r="B20" s="7" t="inlineStr">
        <is>
          <t>SEGMENT PODS — THE OPERATIONAL LMUs (bounded by customer segment, not geography)</t>
        </is>
      </c>
      <c r="C20" s="8" t="inlineStr"/>
      <c r="D20" s="8" t="inlineStr"/>
      <c r="E20" s="8" t="inlineStr"/>
      <c r="F20" s="8" t="inlineStr"/>
      <c r="G20" s="8" t="inlineStr"/>
      <c r="H20" s="8" t="inlineStr"/>
    </row>
    <row r="21">
      <c r="B21" s="10" t="inlineStr">
        <is>
          <t>National customer base</t>
        </is>
      </c>
      <c r="C21" s="58">
        <f>'8. Org Structure'!$C$6</f>
        <v/>
      </c>
    </row>
    <row r="22">
      <c r="B22" s="10" t="inlineStr">
        <is>
          <t>Segment: relationship-managed SMEs (larger / complex)</t>
        </is>
      </c>
      <c r="C22" s="44">
        <f>'8. Org Structure'!$C$21*'Inputs'!$F$24</f>
        <v/>
      </c>
      <c r="H22" s="14" t="inlineStr">
        <is>
          <t>The segment boundary is customer size &amp; complexity — pct_rm input</t>
        </is>
      </c>
    </row>
    <row r="23">
      <c r="B23" s="10" t="inlineStr">
        <is>
          <t>Segment: digitally-served small businesses</t>
        </is>
      </c>
      <c r="C23" s="44">
        <f>'8. Org Structure'!$C$21-'8. Org Structure'!$C$22</f>
        <v/>
      </c>
    </row>
    <row r="25">
      <c r="B25" s="9" t="inlineStr">
        <is>
          <t>RELATIONSHIP POD (LMU for the RM-managed segment)</t>
        </is>
      </c>
    </row>
    <row r="26">
      <c r="B26" s="10" t="inlineStr">
        <is>
          <t>Pod capacity (RMs per pod × customers per RM)</t>
        </is>
      </c>
      <c r="C26" s="44">
        <f>'Inputs'!$F$26*'Inputs'!$F$25</f>
        <v/>
      </c>
      <c r="H26" s="14" t="inlineStr">
        <is>
          <t>6 RMs × 120 customers = 720 SMEs per pod</t>
        </is>
      </c>
    </row>
    <row r="27">
      <c r="B27" s="60" t="inlineStr">
        <is>
          <t>Relationship pods at scale</t>
        </is>
      </c>
      <c r="C27" s="65">
        <f>'8. Org Structure'!$C$22/'8. Org Structure'!$C$26</f>
        <v/>
      </c>
      <c r="H27" s="14" t="inlineStr">
        <is>
          <t>Replicating unit: pod lead + RMs + analysts; carries ~60% of lending balances</t>
        </is>
      </c>
    </row>
    <row r="28">
      <c r="B28" s="10" t="inlineStr">
        <is>
          <t>Credit analysts per pod (national analysts ÷ pods)</t>
        </is>
      </c>
      <c r="C28" s="51">
        <f>'3. HR &amp; Activity'!$D$38*'Inputs'!$F$172/'8. Org Structure'!$C$27</f>
        <v/>
      </c>
      <c r="H28" s="14" t="inlineStr">
        <is>
          <t>Analysts sit with the relationship pods; digitally-held credit is underwritten remotely by the same pods</t>
        </is>
      </c>
    </row>
    <row r="30">
      <c r="B30" s="9" t="inlineStr">
        <is>
          <t>DIGITAL SERVICE POD (LMU for the small-business segment)</t>
        </is>
      </c>
    </row>
    <row r="31">
      <c r="B31" s="60" t="inlineStr">
        <is>
          <t>Digital service pods at scale (service FTE ÷ pod size)</t>
        </is>
      </c>
      <c r="C31" s="65">
        <f>'3. HR &amp; Activity'!$D$39*'Inputs'!$F$172/'Inputs'!$F$27</f>
        <v/>
      </c>
      <c r="H31" s="14" t="inlineStr">
        <is>
          <t>Replicating unit: service &amp; ops FTE serving the segment via app + contact centre</t>
        </is>
      </c>
    </row>
    <row r="32">
      <c r="B32" s="10" t="inlineStr">
        <is>
          <t>Small businesses served per digital pod</t>
        </is>
      </c>
      <c r="C32" s="44">
        <f>'8. Org Structure'!$C$23/'8. Org Structure'!$C$31</f>
        <v/>
      </c>
      <c r="H32" s="14" t="inlineStr">
        <is>
          <t>Capacity bounded by service workload, not territory</t>
        </is>
      </c>
    </row>
    <row r="34">
      <c r="B34" s="5" t="inlineStr">
        <is>
          <t>Both pod types replicate independently as the bank grows — the segment pod, not a regional centre, is the venture's replicating building block. Geography is only where pods are homed.</t>
        </is>
      </c>
    </row>
    <row r="36">
      <c r="B36" s="7" t="inlineStr">
        <is>
          <t>HEAD OFFICE — FTEs BACKED OUT OF COST ALLOCATIONS</t>
        </is>
      </c>
      <c r="C36" s="8" t="inlineStr"/>
      <c r="D36" s="8" t="inlineStr"/>
      <c r="E36" s="8" t="inlineStr"/>
      <c r="F36" s="8" t="inlineStr"/>
      <c r="G36" s="8" t="inlineStr"/>
      <c r="H36" s="8" t="inlineStr"/>
    </row>
    <row r="37">
      <c r="B37" s="45" t="inlineStr">
        <is>
          <t>Division</t>
        </is>
      </c>
      <c r="C37" s="45" t="inlineStr">
        <is>
          <t>Allocated cost at scale</t>
        </is>
      </c>
      <c r="D37" s="45" t="inlineStr">
        <is>
          <t>Staff share</t>
        </is>
      </c>
      <c r="E37" s="45" t="inlineStr">
        <is>
          <t>Staff cost (£)</t>
        </is>
      </c>
      <c r="F37" s="45" t="inlineStr">
        <is>
          <t>Loaded cost /FTE</t>
        </is>
      </c>
      <c r="G37" s="45" t="inlineStr">
        <is>
          <t>FTEs</t>
        </is>
      </c>
      <c r="H37" s="45" t="inlineStr">
        <is>
          <t>Note</t>
        </is>
      </c>
    </row>
    <row r="38">
      <c r="B38" s="10" t="inlineStr">
        <is>
          <t>Technology &amp; central operations</t>
        </is>
      </c>
      <c r="C38" s="46">
        <f>'Inputs'!$F$129*'8. Org Structure'!$C$6</f>
        <v/>
      </c>
      <c r="D38" s="56">
        <f>'Inputs'!$F$173</f>
        <v/>
      </c>
      <c r="E38" s="46">
        <f>C38*D38</f>
        <v/>
      </c>
      <c r="F38" s="59">
        <f>'Inputs'!$F$174</f>
        <v/>
      </c>
      <c r="G38" s="22">
        <f>E38/F38</f>
        <v/>
      </c>
    </row>
    <row r="39">
      <c r="B39" s="10" t="inlineStr">
        <is>
          <t>Risk, compliance, financial crime &amp; audit</t>
        </is>
      </c>
      <c r="C39" s="46">
        <f>'Inputs'!$F$130*'8. Org Structure'!$C$6</f>
        <v/>
      </c>
      <c r="D39" s="56">
        <f>'Inputs'!$F$175</f>
        <v/>
      </c>
      <c r="E39" s="46">
        <f>C39*D39</f>
        <v/>
      </c>
      <c r="F39" s="59">
        <f>'Inputs'!$F$176</f>
        <v/>
      </c>
      <c r="G39" s="22">
        <f>E39/F39</f>
        <v/>
      </c>
    </row>
    <row r="40">
      <c r="B40" s="10" t="inlineStr">
        <is>
          <t>Corporate centre (finance, treasury, HR, marketing, exec)</t>
        </is>
      </c>
      <c r="C40" s="46">
        <f>'Inputs'!$F$131*'8. Org Structure'!$C$6</f>
        <v/>
      </c>
      <c r="D40" s="56">
        <f>'Inputs'!$F$177</f>
        <v/>
      </c>
      <c r="E40" s="46">
        <f>C40*D40</f>
        <v/>
      </c>
      <c r="F40" s="59">
        <f>'Inputs'!$F$178</f>
        <v/>
      </c>
      <c r="G40" s="22">
        <f>E40/F40</f>
        <v/>
      </c>
    </row>
    <row r="41">
      <c r="B41" s="60" t="inlineStr">
        <is>
          <t>TOTAL HEAD OFFICE</t>
        </is>
      </c>
      <c r="G41" s="43">
        <f>SUM(G38:G40)</f>
        <v/>
      </c>
    </row>
    <row r="43">
      <c r="B43" s="7" t="inlineStr">
        <is>
          <t>INDICATIVE SPLIT WITHIN EACH HEAD-OFFICE DIVISION (edit blue % — each block sums to 100%)</t>
        </is>
      </c>
      <c r="C43" s="8" t="inlineStr"/>
      <c r="D43" s="8" t="inlineStr"/>
      <c r="E43" s="8" t="inlineStr"/>
      <c r="F43" s="8" t="inlineStr"/>
      <c r="G43" s="8" t="inlineStr"/>
      <c r="H43" s="8" t="inlineStr"/>
    </row>
    <row r="44">
      <c r="B44" s="9" t="inlineStr">
        <is>
          <t>Function</t>
        </is>
      </c>
      <c r="C44" s="9" t="inlineStr">
        <is>
          <t>% of division</t>
        </is>
      </c>
      <c r="D44" s="9" t="inlineStr">
        <is>
          <t>FTEs</t>
        </is>
      </c>
      <c r="E44" s="9" t="inlineStr">
        <is>
          <t>Headcount (rounded)</t>
        </is>
      </c>
    </row>
    <row r="45">
      <c r="B45" s="9" t="inlineStr">
        <is>
          <t>TECHNOLOGY &amp; CENTRAL OPERATIONS</t>
        </is>
      </c>
    </row>
    <row r="46">
      <c r="B46" s="10" t="inlineStr">
        <is>
          <t>Engineering &amp; platform development</t>
        </is>
      </c>
      <c r="C46" s="17" t="n">
        <v>0.4</v>
      </c>
      <c r="D46" s="51">
        <f>C46*'8. Org Structure'!$G$38</f>
        <v/>
      </c>
      <c r="E46" s="44">
        <f>ROUND(D46,0)</f>
        <v/>
      </c>
    </row>
    <row r="47">
      <c r="B47" s="10" t="inlineStr">
        <is>
          <t>IT infrastructure &amp; security</t>
        </is>
      </c>
      <c r="C47" s="17" t="n">
        <v>0.18</v>
      </c>
      <c r="D47" s="51">
        <f>C47*'8. Org Structure'!$G$38</f>
        <v/>
      </c>
      <c r="E47" s="44">
        <f>ROUND(D47,0)</f>
        <v/>
      </c>
    </row>
    <row r="48">
      <c r="B48" s="10" t="inlineStr">
        <is>
          <t>Payments &amp; banking operations</t>
        </is>
      </c>
      <c r="C48" s="17" t="n">
        <v>0.27</v>
      </c>
      <c r="D48" s="51">
        <f>C48*'8. Org Structure'!$G$38</f>
        <v/>
      </c>
      <c r="E48" s="44">
        <f>ROUND(D48,0)</f>
        <v/>
      </c>
    </row>
    <row r="49">
      <c r="B49" s="10" t="inlineStr">
        <is>
          <t>Onboarding, KYC refresh &amp; complaints</t>
        </is>
      </c>
      <c r="C49" s="17" t="n">
        <v>0.15</v>
      </c>
      <c r="D49" s="51">
        <f>C49*'8. Org Structure'!$G$38</f>
        <v/>
      </c>
      <c r="E49" s="44">
        <f>ROUND(D49,0)</f>
        <v/>
      </c>
    </row>
    <row r="50">
      <c r="B50" s="9" t="inlineStr">
        <is>
          <t>RISK, COMPLIANCE, FINANCIAL CRIME &amp; AUDIT</t>
        </is>
      </c>
    </row>
    <row r="51">
      <c r="B51" s="10" t="inlineStr">
        <is>
          <t>Credit risk &amp; underwriting policy</t>
        </is>
      </c>
      <c r="C51" s="17" t="n">
        <v>0.3</v>
      </c>
      <c r="D51" s="51">
        <f>C51*'8. Org Structure'!$G$39</f>
        <v/>
      </c>
      <c r="E51" s="44">
        <f>ROUND(D51,0)</f>
        <v/>
      </c>
    </row>
    <row r="52">
      <c r="B52" s="10" t="inlineStr">
        <is>
          <t>Compliance &amp; conduct</t>
        </is>
      </c>
      <c r="C52" s="17" t="n">
        <v>0.2</v>
      </c>
      <c r="D52" s="51">
        <f>C52*'8. Org Structure'!$G$39</f>
        <v/>
      </c>
      <c r="E52" s="44">
        <f>ROUND(D52,0)</f>
        <v/>
      </c>
    </row>
    <row r="53">
      <c r="B53" s="10" t="inlineStr">
        <is>
          <t>Financial crime &amp; fraud</t>
        </is>
      </c>
      <c r="C53" s="17" t="n">
        <v>0.26</v>
      </c>
      <c r="D53" s="51">
        <f>C53*'8. Org Structure'!$G$39</f>
        <v/>
      </c>
      <c r="E53" s="44">
        <f>ROUND(D53,0)</f>
        <v/>
      </c>
    </row>
    <row r="54">
      <c r="B54" s="10" t="inlineStr">
        <is>
          <t>Operational risk</t>
        </is>
      </c>
      <c r="C54" s="17" t="n">
        <v>0.08</v>
      </c>
      <c r="D54" s="51">
        <f>C54*'8. Org Structure'!$G$39</f>
        <v/>
      </c>
      <c r="E54" s="44">
        <f>ROUND(D54,0)</f>
        <v/>
      </c>
    </row>
    <row r="55">
      <c r="B55" s="10" t="inlineStr">
        <is>
          <t>Internal audit</t>
        </is>
      </c>
      <c r="C55" s="17" t="n">
        <v>0.08</v>
      </c>
      <c r="D55" s="51">
        <f>C55*'8. Org Structure'!$G$39</f>
        <v/>
      </c>
      <c r="E55" s="44">
        <f>ROUND(D55,0)</f>
        <v/>
      </c>
    </row>
    <row r="56">
      <c r="B56" s="10" t="inlineStr">
        <is>
          <t>Legal &amp; company secretariat</t>
        </is>
      </c>
      <c r="C56" s="17" t="n">
        <v>0.08</v>
      </c>
      <c r="D56" s="51">
        <f>C56*'8. Org Structure'!$G$39</f>
        <v/>
      </c>
      <c r="E56" s="44">
        <f>ROUND(D56,0)</f>
        <v/>
      </c>
    </row>
    <row r="57">
      <c r="B57" s="9" t="inlineStr">
        <is>
          <t>CORPORATE CENTRE</t>
        </is>
      </c>
    </row>
    <row r="58">
      <c r="B58" s="10" t="inlineStr">
        <is>
          <t>Finance &amp; regulatory reporting</t>
        </is>
      </c>
      <c r="C58" s="17" t="n">
        <v>0.31</v>
      </c>
      <c r="D58" s="51">
        <f>C58*'8. Org Structure'!$G$40</f>
        <v/>
      </c>
      <c r="E58" s="44">
        <f>ROUND(D58,0)</f>
        <v/>
      </c>
    </row>
    <row r="59">
      <c r="B59" s="10" t="inlineStr">
        <is>
          <t>Treasury &amp; ALM</t>
        </is>
      </c>
      <c r="C59" s="17" t="n">
        <v>0.12</v>
      </c>
      <c r="D59" s="51">
        <f>C59*'8. Org Structure'!$G$40</f>
        <v/>
      </c>
      <c r="E59" s="44">
        <f>ROUND(D59,0)</f>
        <v/>
      </c>
    </row>
    <row r="60">
      <c r="B60" s="10" t="inlineStr">
        <is>
          <t>People / HR</t>
        </is>
      </c>
      <c r="C60" s="17" t="n">
        <v>0.16</v>
      </c>
      <c r="D60" s="51">
        <f>C60*'8. Org Structure'!$G$40</f>
        <v/>
      </c>
      <c r="E60" s="44">
        <f>ROUND(D60,0)</f>
        <v/>
      </c>
    </row>
    <row r="61">
      <c r="B61" s="10" t="inlineStr">
        <is>
          <t>Marketing &amp; brand (residual — acquisition carved out to cac_new)</t>
        </is>
      </c>
      <c r="C61" s="17" t="n">
        <v>0.12</v>
      </c>
      <c r="D61" s="51">
        <f>C61*'8. Org Structure'!$G$40</f>
        <v/>
      </c>
      <c r="E61" s="44">
        <f>ROUND(D61,0)</f>
        <v/>
      </c>
    </row>
    <row r="62">
      <c r="B62" s="10" t="inlineStr">
        <is>
          <t>Executive &amp; strategy</t>
        </is>
      </c>
      <c r="C62" s="17" t="n">
        <v>0.13</v>
      </c>
      <c r="D62" s="51">
        <f>C62*'8. Org Structure'!$G$40</f>
        <v/>
      </c>
      <c r="E62" s="44">
        <f>ROUND(D62,0)</f>
        <v/>
      </c>
    </row>
    <row r="63">
      <c r="B63" s="10" t="inlineStr">
        <is>
          <t>Facilities &amp; procurement</t>
        </is>
      </c>
      <c r="C63" s="17" t="n">
        <v>0.09</v>
      </c>
      <c r="D63" s="51">
        <f>C63*'8. Org Structure'!$G$40</f>
        <v/>
      </c>
      <c r="E63" s="44">
        <f>ROUND(D63,0)</f>
        <v/>
      </c>
    </row>
    <row r="64">
      <c r="B64" s="10" t="inlineStr">
        <is>
          <t>Data &amp; MI</t>
        </is>
      </c>
      <c r="C64" s="17" t="n">
        <v>0.07000000000000001</v>
      </c>
      <c r="D64" s="51">
        <f>C64*'8. Org Structure'!$G$40</f>
        <v/>
      </c>
      <c r="E64" s="44">
        <f>ROUND(D64,0)</f>
        <v/>
      </c>
    </row>
    <row r="66">
      <c r="B66" s="7" t="inlineStr">
        <is>
          <t>WHOLE-BANK TOTALS</t>
        </is>
      </c>
      <c r="C66" s="8" t="inlineStr"/>
      <c r="D66" s="8" t="inlineStr"/>
      <c r="E66" s="8" t="inlineStr"/>
      <c r="F66" s="8" t="inlineStr"/>
      <c r="G66" s="8" t="inlineStr"/>
      <c r="H66" s="8" t="inlineStr"/>
    </row>
    <row r="67">
      <c r="B67" s="60" t="inlineStr">
        <is>
          <t>Total bank FTEs (front line + head office)</t>
        </is>
      </c>
      <c r="C67" s="43">
        <f>'8. Org Structure'!$D$18+'8. Org Structure'!$G$41</f>
        <v/>
      </c>
    </row>
    <row r="68">
      <c r="B68" s="10" t="inlineStr">
        <is>
          <t>Customers per FTE</t>
        </is>
      </c>
      <c r="C68" s="44">
        <f>'8. Org Structure'!$C$6/'8. Org Structure'!$C$67</f>
        <v/>
      </c>
    </row>
    <row r="69">
      <c r="B69" s="10" t="inlineStr">
        <is>
          <t>Operating income per FTE</t>
        </is>
      </c>
      <c r="C69" s="46">
        <f>'8. Org Structure'!$C$9/'8. Org Structure'!$C$67</f>
        <v/>
      </c>
      <c r="H69" s="14" t="inlineStr">
        <is>
          <t>UK banks typically £250–400k income per FTE</t>
        </is>
      </c>
    </row>
    <row r="70">
      <c r="B70" s="10" t="inlineStr">
        <is>
          <t>Implied total staff cost</t>
        </is>
      </c>
      <c r="C70" s="46">
        <f>'Inputs'!$F$172*'3. HR &amp; Activity'!$H$41+'8. Org Structure'!$E$38+'8. Org Structure'!$E$39+'8. Org Structure'!$E$40</f>
        <v/>
      </c>
    </row>
    <row r="71">
      <c r="B71" s="10" t="inlineStr">
        <is>
          <t>Staff cost as % of total operating costs</t>
        </is>
      </c>
      <c r="C71" s="48">
        <f>'8. Org Structure'!$C$70/'8. Org Structure'!$C$10</f>
        <v/>
      </c>
      <c r="H71" s="14" t="inlineStr">
        <is>
          <t>Banks typically ~55–65% of opex is people</t>
        </is>
      </c>
    </row>
    <row r="73">
      <c r="B73" s="5" t="inlineStr">
        <is>
          <t>Front-line FTEs are fractional per centre (e.g. 3.75 RMs); in practice centres share specialists or round up — the 'Headcount (rounded)' column shows the practical org.</t>
        </is>
      </c>
    </row>
  </sheetData>
  <mergeCells count="2">
    <mergeCell ref="B34:H34"/>
    <mergeCell ref="B73:H7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M119"/>
  <sheetViews>
    <sheetView workbookViewId="0">
      <pane ySplit="3" topLeftCell="A4" activePane="bottomLeft" state="frozen"/>
      <selection pane="bottomLeft" activeCell="A1" sqref="A1"/>
    </sheetView>
  </sheetViews>
  <sheetFormatPr baseColWidth="8" defaultRowHeight="15"/>
  <cols>
    <col width="2" customWidth="1" min="1" max="1"/>
    <col width="9" customWidth="1" min="2" max="2"/>
    <col width="17" customWidth="1" min="3" max="3"/>
    <col width="6" customWidth="1" min="4" max="4"/>
    <col width="9" customWidth="1" min="5" max="5"/>
    <col width="32" customWidth="1" min="6" max="6"/>
    <col width="34" customWidth="1" min="7" max="7"/>
    <col width="12" customWidth="1" min="8" max="8"/>
    <col width="9" customWidth="1" min="9" max="9"/>
    <col width="16" customWidth="1" min="10" max="10"/>
    <col width="14" customWidth="1" min="11" max="11"/>
    <col width="16" customWidth="1" min="12" max="12"/>
    <col width="40" customWidth="1" min="13" max="13"/>
  </cols>
  <sheetData>
    <row r="1">
      <c r="B1" s="1" t="inlineStr">
        <is>
          <t>FLOW REGISTER — PORTFOLIO OF 4-D PRODUCTS ON A SHARED PLATFORM</t>
        </is>
      </c>
    </row>
    <row r="2">
      <c r="B2" s="14" t="inlineStr">
        <is>
          <t>One row per flow. Each product line is a full 4-D product whose working product is DERIVED from its CTM state change (uk_sme_bank_ctm.html); the shared platform serves every product. Reconciles the map's role pills to the ARM (tab 3) and each flow's processes to BIAN.</t>
        </is>
      </c>
    </row>
    <row r="4">
      <c r="B4" s="45" t="inlineStr">
        <is>
          <t>Flow</t>
        </is>
      </c>
      <c r="C4" s="45" t="inlineStr">
        <is>
          <t>Product</t>
        </is>
      </c>
      <c r="D4" s="45" t="inlineStr">
        <is>
          <t>Type</t>
        </is>
      </c>
      <c r="E4" s="45" t="inlineStr">
        <is>
          <t>Category</t>
        </is>
      </c>
      <c r="F4" s="45" t="inlineStr">
        <is>
          <t>Name</t>
        </is>
      </c>
      <c r="G4" s="45" t="inlineStr">
        <is>
          <t>State change driven (from CTM)</t>
        </is>
      </c>
      <c r="H4" s="45" t="inlineStr">
        <is>
          <t>Direction</t>
        </is>
      </c>
      <c r="I4" s="45" t="inlineStr">
        <is>
          <t>Medium</t>
        </is>
      </c>
      <c r="J4" s="45" t="inlineStr">
        <is>
          <t>Direct producer</t>
        </is>
      </c>
      <c r="K4" s="45" t="inlineStr">
        <is>
          <t>Admin support</t>
        </is>
      </c>
      <c r="L4" s="45" t="inlineStr">
        <is>
          <t>Managerial support</t>
        </is>
      </c>
      <c r="M4" s="45" t="inlineStr">
        <is>
          <t>BIAN service domains</t>
        </is>
      </c>
    </row>
    <row r="5">
      <c r="B5" s="42" t="inlineStr">
        <is>
          <t>CP1</t>
        </is>
      </c>
      <c r="C5" s="10" t="inlineStr">
        <is>
          <t>Shared platform</t>
        </is>
      </c>
      <c r="D5" s="10" t="inlineStr">
        <is>
          <t>CP</t>
        </is>
      </c>
      <c r="E5" s="10" t="inlineStr">
        <is>
          <t>Comms</t>
        </is>
      </c>
      <c r="F5" s="4" t="inlineStr">
        <is>
          <t>Marketing &amp; brand</t>
        </is>
      </c>
      <c r="G5" s="4" t="inlineStr">
        <is>
          <t>—</t>
        </is>
      </c>
      <c r="H5" s="10" t="inlineStr">
        <is>
          <t>HQ-&gt;cust</t>
        </is>
      </c>
      <c r="I5" s="10" t="inlineStr">
        <is>
          <t>digital</t>
        </is>
      </c>
      <c r="J5" s="10" t="inlineStr">
        <is>
          <t>Marketing</t>
        </is>
      </c>
      <c r="K5" s="10" t="inlineStr">
        <is>
          <t>Marketing admin</t>
        </is>
      </c>
      <c r="L5" s="10" t="inlineStr">
        <is>
          <t>Head of marketing</t>
        </is>
      </c>
      <c r="M5" s="4" t="inlineStr">
        <is>
          <t>Marketing Campaign · Brand Management</t>
        </is>
      </c>
    </row>
    <row r="6">
      <c r="B6" s="42" t="inlineStr">
        <is>
          <t>CA-WP</t>
        </is>
      </c>
      <c r="C6" s="10" t="inlineStr">
        <is>
          <t>Current account</t>
        </is>
      </c>
      <c r="D6" s="10" t="inlineStr">
        <is>
          <t>WP</t>
        </is>
      </c>
      <c r="E6" s="10" t="inlineStr">
        <is>
          <t>Core</t>
        </is>
      </c>
      <c r="F6" s="4" t="inlineStr">
        <is>
          <t>Hold &amp; use day-to-day money</t>
        </is>
      </c>
      <c r="G6" s="4" t="inlineStr">
        <is>
          <t>Business money mixed &amp; ad hoc -&gt; held safe, usable on demand</t>
        </is>
      </c>
      <c r="H6" s="10" t="inlineStr">
        <is>
          <t>HQ-&gt;cust</t>
        </is>
      </c>
      <c r="I6" s="10" t="inlineStr">
        <is>
          <t>digital</t>
        </is>
      </c>
      <c r="J6" s="10" t="inlineStr">
        <is>
          <t>Service &amp; ops</t>
        </is>
      </c>
      <c r="K6" s="10" t="inlineStr">
        <is>
          <t>Ops admin</t>
        </is>
      </c>
      <c r="L6" s="10" t="inlineStr">
        <is>
          <t>Ops manager</t>
        </is>
      </c>
      <c r="M6" s="4" t="inlineStr">
        <is>
          <t>Current Account · Party Reference Data</t>
        </is>
      </c>
    </row>
    <row r="7">
      <c r="B7" s="42" t="inlineStr">
        <is>
          <t>CA-PP1</t>
        </is>
      </c>
      <c r="C7" s="10" t="inlineStr">
        <is>
          <t>Current account</t>
        </is>
      </c>
      <c r="D7" s="10" t="inlineStr">
        <is>
          <t>PP</t>
        </is>
      </c>
      <c r="E7" s="10" t="inlineStr">
        <is>
          <t>Money</t>
        </is>
      </c>
      <c r="F7" s="4" t="inlineStr">
        <is>
          <t>Account fees</t>
        </is>
      </c>
      <c r="G7" s="4" t="inlineStr">
        <is>
          <t>—</t>
        </is>
      </c>
      <c r="H7" s="10" t="inlineStr">
        <is>
          <t>cust-&gt;HQ</t>
        </is>
      </c>
      <c r="I7" s="10" t="inlineStr">
        <is>
          <t>digital</t>
        </is>
      </c>
      <c r="J7" s="10" t="inlineStr">
        <is>
          <t>Payments ops</t>
        </is>
      </c>
      <c r="K7" s="10" t="inlineStr">
        <is>
          <t>Finance admin</t>
        </is>
      </c>
      <c r="L7" s="10" t="inlineStr">
        <is>
          <t>Payments manager</t>
        </is>
      </c>
      <c r="M7" s="4" t="inlineStr">
        <is>
          <t>Customer Billing · Reconciliation</t>
        </is>
      </c>
    </row>
    <row r="8">
      <c r="B8" s="42" t="inlineStr">
        <is>
          <t>SV-WP</t>
        </is>
      </c>
      <c r="C8" s="10" t="inlineStr">
        <is>
          <t>Savings &amp; deposits</t>
        </is>
      </c>
      <c r="D8" s="10" t="inlineStr">
        <is>
          <t>WP</t>
        </is>
      </c>
      <c r="E8" s="10" t="inlineStr">
        <is>
          <t>Core</t>
        </is>
      </c>
      <c r="F8" s="4" t="inlineStr">
        <is>
          <t>Interest-earning safe store</t>
        </is>
      </c>
      <c r="G8" s="4" t="inlineStr">
        <is>
          <t>Surplus idle -&gt; surplus earning</t>
        </is>
      </c>
      <c r="H8" s="10" t="inlineStr">
        <is>
          <t>HQ-&gt;cust</t>
        </is>
      </c>
      <c r="I8" s="10" t="inlineStr">
        <is>
          <t>digital</t>
        </is>
      </c>
      <c r="J8" s="10" t="inlineStr">
        <is>
          <t>Service &amp; ops</t>
        </is>
      </c>
      <c r="K8" s="10" t="inlineStr">
        <is>
          <t>Ops admin</t>
        </is>
      </c>
      <c r="L8" s="10" t="inlineStr">
        <is>
          <t>Ops manager</t>
        </is>
      </c>
      <c r="M8" s="4" t="inlineStr">
        <is>
          <t>Savings Account · Term Deposit</t>
        </is>
      </c>
    </row>
    <row r="9">
      <c r="B9" s="42" t="inlineStr">
        <is>
          <t>SV-PP1</t>
        </is>
      </c>
      <c r="C9" s="10" t="inlineStr">
        <is>
          <t>Savings &amp; deposits</t>
        </is>
      </c>
      <c r="D9" s="10" t="inlineStr">
        <is>
          <t>PP</t>
        </is>
      </c>
      <c r="E9" s="10" t="inlineStr">
        <is>
          <t>Money</t>
        </is>
      </c>
      <c r="F9" s="4" t="inlineStr">
        <is>
          <t>Deposits placed</t>
        </is>
      </c>
      <c r="G9" s="4" t="inlineStr">
        <is>
          <t>—</t>
        </is>
      </c>
      <c r="H9" s="10" t="inlineStr">
        <is>
          <t>cust-&gt;HQ</t>
        </is>
      </c>
      <c r="I9" s="10" t="inlineStr">
        <is>
          <t>digital</t>
        </is>
      </c>
      <c r="J9" s="10" t="inlineStr">
        <is>
          <t>Treasury</t>
        </is>
      </c>
      <c r="K9" s="10" t="inlineStr">
        <is>
          <t>Ops admin</t>
        </is>
      </c>
      <c r="L9" s="10" t="inlineStr">
        <is>
          <t>Treasurer</t>
        </is>
      </c>
      <c r="M9" s="4" t="inlineStr">
        <is>
          <t>Payment Execution · Position Keeping</t>
        </is>
      </c>
    </row>
    <row r="10">
      <c r="B10" s="42" t="inlineStr">
        <is>
          <t>SV-PP2</t>
        </is>
      </c>
      <c r="C10" s="10" t="inlineStr">
        <is>
          <t>Savings &amp; deposits</t>
        </is>
      </c>
      <c r="D10" s="10" t="inlineStr">
        <is>
          <t>PP</t>
        </is>
      </c>
      <c r="E10" s="10" t="inlineStr">
        <is>
          <t>Money</t>
        </is>
      </c>
      <c r="F10" s="4" t="inlineStr">
        <is>
          <t>Interest paid</t>
        </is>
      </c>
      <c r="G10" s="4" t="inlineStr">
        <is>
          <t>—</t>
        </is>
      </c>
      <c r="H10" s="10" t="inlineStr">
        <is>
          <t>HQ-&gt;cust</t>
        </is>
      </c>
      <c r="I10" s="10" t="inlineStr">
        <is>
          <t>digital</t>
        </is>
      </c>
      <c r="J10" s="10" t="inlineStr">
        <is>
          <t>Treasury</t>
        </is>
      </c>
      <c r="K10" s="10" t="inlineStr">
        <is>
          <t>Finance admin</t>
        </is>
      </c>
      <c r="L10" s="10" t="inlineStr">
        <is>
          <t>Treasurer</t>
        </is>
      </c>
      <c r="M10" s="4" t="inlineStr">
        <is>
          <t>Customer Billing · Position Keeping</t>
        </is>
      </c>
    </row>
    <row r="11">
      <c r="B11" s="42" t="inlineStr">
        <is>
          <t>LN-WP</t>
        </is>
      </c>
      <c r="C11" s="10" t="inlineStr">
        <is>
          <t>Lending &amp; credit</t>
        </is>
      </c>
      <c r="D11" s="10" t="inlineStr">
        <is>
          <t>WP</t>
        </is>
      </c>
      <c r="E11" s="10" t="inlineStr">
        <is>
          <t>Core</t>
        </is>
      </c>
      <c r="F11" s="4" t="inlineStr">
        <is>
          <t>Credit facility (loans · OD · asset &amp; invoice finance)</t>
        </is>
      </c>
      <c r="G11" s="4" t="inlineStr">
        <is>
          <t>Opportunity unfundable -&gt; funded</t>
        </is>
      </c>
      <c r="H11" s="10" t="inlineStr">
        <is>
          <t>HQ-&gt;cust</t>
        </is>
      </c>
      <c r="I11" s="10" t="inlineStr">
        <is>
          <t>physical</t>
        </is>
      </c>
      <c r="J11" s="10" t="inlineStr">
        <is>
          <t>RM · Credit analyst</t>
        </is>
      </c>
      <c r="K11" s="10" t="inlineStr">
        <is>
          <t>Credit admin</t>
        </is>
      </c>
      <c r="L11" s="10" t="inlineStr">
        <is>
          <t>Credit risk manager</t>
        </is>
      </c>
      <c r="M11" s="4" t="inlineStr">
        <is>
          <t>Loan · Customer Credit Rating · Collateral Administration</t>
        </is>
      </c>
    </row>
    <row r="12">
      <c r="B12" s="42" t="inlineStr">
        <is>
          <t>LN-PP1</t>
        </is>
      </c>
      <c r="C12" s="10" t="inlineStr">
        <is>
          <t>Lending &amp; credit</t>
        </is>
      </c>
      <c r="D12" s="10" t="inlineStr">
        <is>
          <t>PP</t>
        </is>
      </c>
      <c r="E12" s="10" t="inlineStr">
        <is>
          <t>Money</t>
        </is>
      </c>
      <c r="F12" s="4" t="inlineStr">
        <is>
          <t>Drawdown</t>
        </is>
      </c>
      <c r="G12" s="4" t="inlineStr">
        <is>
          <t>—</t>
        </is>
      </c>
      <c r="H12" s="10" t="inlineStr">
        <is>
          <t>HQ-&gt;cust</t>
        </is>
      </c>
      <c r="I12" s="10" t="inlineStr">
        <is>
          <t>digital</t>
        </is>
      </c>
      <c r="J12" s="10" t="inlineStr">
        <is>
          <t>Treasury</t>
        </is>
      </c>
      <c r="K12" s="10" t="inlineStr">
        <is>
          <t>Ops admin</t>
        </is>
      </c>
      <c r="L12" s="10" t="inlineStr">
        <is>
          <t>Treasurer</t>
        </is>
      </c>
      <c r="M12" s="4" t="inlineStr">
        <is>
          <t>Payment Execution · Position Keeping</t>
        </is>
      </c>
    </row>
    <row r="13">
      <c r="B13" s="42" t="inlineStr">
        <is>
          <t>LN-PP2</t>
        </is>
      </c>
      <c r="C13" s="10" t="inlineStr">
        <is>
          <t>Lending &amp; credit</t>
        </is>
      </c>
      <c r="D13" s="10" t="inlineStr">
        <is>
          <t>PP</t>
        </is>
      </c>
      <c r="E13" s="10" t="inlineStr">
        <is>
          <t>Money</t>
        </is>
      </c>
      <c r="F13" s="4" t="inlineStr">
        <is>
          <t>Repayments &amp; interest</t>
        </is>
      </c>
      <c r="G13" s="4" t="inlineStr">
        <is>
          <t>—</t>
        </is>
      </c>
      <c r="H13" s="10" t="inlineStr">
        <is>
          <t>cust-&gt;HQ</t>
        </is>
      </c>
      <c r="I13" s="10" t="inlineStr">
        <is>
          <t>digital</t>
        </is>
      </c>
      <c r="J13" s="10" t="inlineStr">
        <is>
          <t>Payments ops</t>
        </is>
      </c>
      <c r="K13" s="10" t="inlineStr">
        <is>
          <t>Finance admin</t>
        </is>
      </c>
      <c r="L13" s="10" t="inlineStr">
        <is>
          <t>Payments manager</t>
        </is>
      </c>
      <c r="M13" s="4" t="inlineStr">
        <is>
          <t>Payment Execution · Reconciliation</t>
        </is>
      </c>
    </row>
    <row r="14">
      <c r="B14" s="42" t="inlineStr">
        <is>
          <t>CC-WP</t>
        </is>
      </c>
      <c r="C14" s="10" t="inlineStr">
        <is>
          <t>Business credit card</t>
        </is>
      </c>
      <c r="D14" s="10" t="inlineStr">
        <is>
          <t>WP</t>
        </is>
      </c>
      <c r="E14" s="10" t="inlineStr">
        <is>
          <t>Core</t>
        </is>
      </c>
      <c r="F14" s="4" t="inlineStr">
        <is>
          <t>Revolving credit line</t>
        </is>
      </c>
      <c r="G14" s="4" t="inlineStr">
        <is>
          <t>Spend blocked by cash timing -&gt; spend enabled on credit</t>
        </is>
      </c>
      <c r="H14" s="10" t="inlineStr">
        <is>
          <t>HQ-&gt;cust</t>
        </is>
      </c>
      <c r="I14" s="10" t="inlineStr">
        <is>
          <t>digital</t>
        </is>
      </c>
      <c r="J14" s="10" t="inlineStr">
        <is>
          <t>Service &amp; ops</t>
        </is>
      </c>
      <c r="K14" s="10" t="inlineStr">
        <is>
          <t>Ops admin</t>
        </is>
      </c>
      <c r="L14" s="10" t="inlineStr">
        <is>
          <t>Ops manager</t>
        </is>
      </c>
      <c r="M14" s="4" t="inlineStr">
        <is>
          <t>Card Authorization · Issued Device Admin</t>
        </is>
      </c>
    </row>
    <row r="15">
      <c r="B15" s="42" t="inlineStr">
        <is>
          <t>CC-PP1</t>
        </is>
      </c>
      <c r="C15" s="10" t="inlineStr">
        <is>
          <t>Business credit card</t>
        </is>
      </c>
      <c r="D15" s="10" t="inlineStr">
        <is>
          <t>PP</t>
        </is>
      </c>
      <c r="E15" s="10" t="inlineStr">
        <is>
          <t>Money</t>
        </is>
      </c>
      <c r="F15" s="4" t="inlineStr">
        <is>
          <t>Spend settled</t>
        </is>
      </c>
      <c r="G15" s="4" t="inlineStr">
        <is>
          <t>—</t>
        </is>
      </c>
      <c r="H15" s="10" t="inlineStr">
        <is>
          <t>HQ-&gt;cust</t>
        </is>
      </c>
      <c r="I15" s="10" t="inlineStr">
        <is>
          <t>digital</t>
        </is>
      </c>
      <c r="J15" s="10" t="inlineStr">
        <is>
          <t>Payments ops</t>
        </is>
      </c>
      <c r="K15" s="10" t="inlineStr">
        <is>
          <t>Payments admin</t>
        </is>
      </c>
      <c r="L15" s="10" t="inlineStr">
        <is>
          <t>Payments manager</t>
        </is>
      </c>
      <c r="M15" s="4" t="inlineStr">
        <is>
          <t>Card Clearing · Reconciliation</t>
        </is>
      </c>
    </row>
    <row r="16">
      <c r="B16" s="42" t="inlineStr">
        <is>
          <t>CC-PP2</t>
        </is>
      </c>
      <c r="C16" s="10" t="inlineStr">
        <is>
          <t>Business credit card</t>
        </is>
      </c>
      <c r="D16" s="10" t="inlineStr">
        <is>
          <t>PP</t>
        </is>
      </c>
      <c r="E16" s="10" t="inlineStr">
        <is>
          <t>Money</t>
        </is>
      </c>
      <c r="F16" s="4" t="inlineStr">
        <is>
          <t>Repayments &amp; interchange</t>
        </is>
      </c>
      <c r="G16" s="4" t="inlineStr">
        <is>
          <t>—</t>
        </is>
      </c>
      <c r="H16" s="10" t="inlineStr">
        <is>
          <t>cust-&gt;HQ</t>
        </is>
      </c>
      <c r="I16" s="10" t="inlineStr">
        <is>
          <t>digital</t>
        </is>
      </c>
      <c r="J16" s="10" t="inlineStr">
        <is>
          <t>Payments ops</t>
        </is>
      </c>
      <c r="K16" s="10" t="inlineStr">
        <is>
          <t>Finance admin</t>
        </is>
      </c>
      <c r="L16" s="10" t="inlineStr">
        <is>
          <t>Payments manager</t>
        </is>
      </c>
      <c r="M16" s="4" t="inlineStr">
        <is>
          <t>Merchant Acquiring · Reconciliation</t>
        </is>
      </c>
    </row>
    <row r="17">
      <c r="B17" s="42" t="inlineStr">
        <is>
          <t>PX-WP</t>
        </is>
      </c>
      <c r="C17" s="10" t="inlineStr">
        <is>
          <t>Payments &amp; FX</t>
        </is>
      </c>
      <c r="D17" s="10" t="inlineStr">
        <is>
          <t>WP</t>
        </is>
      </c>
      <c r="E17" s="10" t="inlineStr">
        <is>
          <t>Core</t>
        </is>
      </c>
      <c r="F17" s="4" t="inlineStr">
        <is>
          <t>Money movement service</t>
        </is>
      </c>
      <c r="G17" s="4" t="inlineStr">
        <is>
          <t>Obligation unpaid or slow -&gt; paid, anywhere</t>
        </is>
      </c>
      <c r="H17" s="10" t="inlineStr">
        <is>
          <t>HQ-&gt;cust</t>
        </is>
      </c>
      <c r="I17" s="10" t="inlineStr">
        <is>
          <t>digital</t>
        </is>
      </c>
      <c r="J17" s="10" t="inlineStr">
        <is>
          <t>Payments ops</t>
        </is>
      </c>
      <c r="K17" s="10" t="inlineStr">
        <is>
          <t>Payments admin</t>
        </is>
      </c>
      <c r="L17" s="10" t="inlineStr">
        <is>
          <t>Payments manager</t>
        </is>
      </c>
      <c r="M17" s="4" t="inlineStr">
        <is>
          <t>Payment Order · Payment Execution · Correspondent Bank</t>
        </is>
      </c>
    </row>
    <row r="18">
      <c r="B18" s="42" t="inlineStr">
        <is>
          <t>PX-PP1</t>
        </is>
      </c>
      <c r="C18" s="10" t="inlineStr">
        <is>
          <t>Payments &amp; FX</t>
        </is>
      </c>
      <c r="D18" s="10" t="inlineStr">
        <is>
          <t>PP</t>
        </is>
      </c>
      <c r="E18" s="10" t="inlineStr">
        <is>
          <t>Money</t>
        </is>
      </c>
      <c r="F18" s="4" t="inlineStr">
        <is>
          <t>Payments out</t>
        </is>
      </c>
      <c r="G18" s="4" t="inlineStr">
        <is>
          <t>—</t>
        </is>
      </c>
      <c r="H18" s="10" t="inlineStr">
        <is>
          <t>HQ-&gt;cust</t>
        </is>
      </c>
      <c r="I18" s="10" t="inlineStr">
        <is>
          <t>digital</t>
        </is>
      </c>
      <c r="J18" s="10" t="inlineStr">
        <is>
          <t>Payments ops</t>
        </is>
      </c>
      <c r="K18" s="10" t="inlineStr">
        <is>
          <t>Payments admin</t>
        </is>
      </c>
      <c r="L18" s="10" t="inlineStr">
        <is>
          <t>Payments manager</t>
        </is>
      </c>
      <c r="M18" s="4" t="inlineStr">
        <is>
          <t>Payment Execution · Financial Message Gateway</t>
        </is>
      </c>
    </row>
    <row r="19">
      <c r="B19" s="42" t="inlineStr">
        <is>
          <t>PX-PP2</t>
        </is>
      </c>
      <c r="C19" s="10" t="inlineStr">
        <is>
          <t>Payments &amp; FX</t>
        </is>
      </c>
      <c r="D19" s="10" t="inlineStr">
        <is>
          <t>PP</t>
        </is>
      </c>
      <c r="E19" s="10" t="inlineStr">
        <is>
          <t>Money</t>
        </is>
      </c>
      <c r="F19" s="4" t="inlineStr">
        <is>
          <t>Receipts &amp; fees</t>
        </is>
      </c>
      <c r="G19" s="4" t="inlineStr">
        <is>
          <t>—</t>
        </is>
      </c>
      <c r="H19" s="10" t="inlineStr">
        <is>
          <t>cust-&gt;HQ</t>
        </is>
      </c>
      <c r="I19" s="10" t="inlineStr">
        <is>
          <t>digital</t>
        </is>
      </c>
      <c r="J19" s="10" t="inlineStr">
        <is>
          <t>Payments ops</t>
        </is>
      </c>
      <c r="K19" s="10" t="inlineStr">
        <is>
          <t>Finance admin</t>
        </is>
      </c>
      <c r="L19" s="10" t="inlineStr">
        <is>
          <t>Payments manager</t>
        </is>
      </c>
      <c r="M19" s="4" t="inlineStr">
        <is>
          <t>Payment Execution · Reconciliation</t>
        </is>
      </c>
    </row>
    <row r="20">
      <c r="B20" s="42" t="inlineStr">
        <is>
          <t>E1</t>
        </is>
      </c>
      <c r="C20" s="10" t="inlineStr">
        <is>
          <t>Shared platform</t>
        </is>
      </c>
      <c r="D20" s="10" t="inlineStr">
        <is>
          <t>WP</t>
        </is>
      </c>
      <c r="E20" s="10" t="inlineStr">
        <is>
          <t>Enabling</t>
        </is>
      </c>
      <c r="F20" s="4" t="inlineStr">
        <is>
          <t>App / online banking</t>
        </is>
      </c>
      <c r="G20" s="4" t="inlineStr">
        <is>
          <t>—</t>
        </is>
      </c>
      <c r="H20" s="10" t="inlineStr">
        <is>
          <t>HQ&lt;-&gt;cust</t>
        </is>
      </c>
      <c r="I20" s="10" t="inlineStr">
        <is>
          <t>digital</t>
        </is>
      </c>
      <c r="J20" s="10" t="inlineStr">
        <is>
          <t>Digital · IT</t>
        </is>
      </c>
      <c r="K20" s="10" t="inlineStr">
        <is>
          <t>—</t>
        </is>
      </c>
      <c r="L20" s="10" t="inlineStr">
        <is>
          <t>Head of digital</t>
        </is>
      </c>
      <c r="M20" s="4" t="inlineStr">
        <is>
          <t>E-Branch / Online Access · Party Authentication</t>
        </is>
      </c>
    </row>
    <row r="21">
      <c r="B21" s="42" t="inlineStr">
        <is>
          <t>E2</t>
        </is>
      </c>
      <c r="C21" s="10" t="inlineStr">
        <is>
          <t>Shared platform</t>
        </is>
      </c>
      <c r="D21" s="10" t="inlineStr">
        <is>
          <t>WP</t>
        </is>
      </c>
      <c r="E21" s="10" t="inlineStr">
        <is>
          <t>Enabling</t>
        </is>
      </c>
      <c r="F21" s="4" t="inlineStr">
        <is>
          <t>Debit card (instrument of CA — no own state change)</t>
        </is>
      </c>
      <c r="G21" s="4" t="inlineStr">
        <is>
          <t>—</t>
        </is>
      </c>
      <c r="H21" s="10" t="inlineStr">
        <is>
          <t>HQ-&gt;cust</t>
        </is>
      </c>
      <c r="I21" s="10" t="inlineStr">
        <is>
          <t>digital</t>
        </is>
      </c>
      <c r="J21" s="10" t="inlineStr">
        <is>
          <t>Service &amp; ops</t>
        </is>
      </c>
      <c r="K21" s="10" t="inlineStr">
        <is>
          <t>—</t>
        </is>
      </c>
      <c r="L21" s="10" t="inlineStr">
        <is>
          <t>Ops manager</t>
        </is>
      </c>
      <c r="M21" s="4" t="inlineStr">
        <is>
          <t>Card Authorization · Issued Device Admin</t>
        </is>
      </c>
    </row>
    <row r="22">
      <c r="B22" s="42" t="inlineStr">
        <is>
          <t>E3</t>
        </is>
      </c>
      <c r="C22" s="10" t="inlineStr">
        <is>
          <t>Shared platform</t>
        </is>
      </c>
      <c r="D22" s="10" t="inlineStr">
        <is>
          <t>WP</t>
        </is>
      </c>
      <c r="E22" s="10" t="inlineStr">
        <is>
          <t>Enabling</t>
        </is>
      </c>
      <c r="F22" s="4" t="inlineStr">
        <is>
          <t>API gateway / Open Banking</t>
        </is>
      </c>
      <c r="G22" s="4" t="inlineStr">
        <is>
          <t>—</t>
        </is>
      </c>
      <c r="H22" s="10" t="inlineStr">
        <is>
          <t>HQ&lt;-&gt;cust</t>
        </is>
      </c>
      <c r="I22" s="10" t="inlineStr">
        <is>
          <t>digital</t>
        </is>
      </c>
      <c r="J22" s="10" t="inlineStr">
        <is>
          <t>Payments ops · IT</t>
        </is>
      </c>
      <c r="K22" s="10" t="inlineStr">
        <is>
          <t>—</t>
        </is>
      </c>
      <c r="L22" s="10" t="inlineStr">
        <is>
          <t>Head of digital</t>
        </is>
      </c>
      <c r="M22" s="4" t="inlineStr">
        <is>
          <t>Financial Message Gateway</t>
        </is>
      </c>
    </row>
    <row r="23">
      <c r="B23" s="42" t="inlineStr">
        <is>
          <t>E4</t>
        </is>
      </c>
      <c r="C23" s="10" t="inlineStr">
        <is>
          <t>Shared platform</t>
        </is>
      </c>
      <c r="D23" s="10" t="inlineStr">
        <is>
          <t>WP</t>
        </is>
      </c>
      <c r="E23" s="10" t="inlineStr">
        <is>
          <t>Enabling</t>
        </is>
      </c>
      <c r="F23" s="4" t="inlineStr">
        <is>
          <t>Access &amp; authentication</t>
        </is>
      </c>
      <c r="G23" s="4" t="inlineStr">
        <is>
          <t>—</t>
        </is>
      </c>
      <c r="H23" s="10" t="inlineStr">
        <is>
          <t>cust-&gt;HQ</t>
        </is>
      </c>
      <c r="I23" s="10" t="inlineStr">
        <is>
          <t>digital</t>
        </is>
      </c>
      <c r="J23" s="10" t="inlineStr">
        <is>
          <t>IT · Risk</t>
        </is>
      </c>
      <c r="K23" s="10" t="inlineStr">
        <is>
          <t>—</t>
        </is>
      </c>
      <c r="L23" s="10" t="inlineStr">
        <is>
          <t>Head of security</t>
        </is>
      </c>
      <c r="M23" s="4" t="inlineStr">
        <is>
          <t>Party Authentication · Customer Access Entitlement</t>
        </is>
      </c>
    </row>
    <row r="24">
      <c r="B24" s="42" t="inlineStr">
        <is>
          <t>E5</t>
        </is>
      </c>
      <c r="C24" s="10" t="inlineStr">
        <is>
          <t>Shared platform</t>
        </is>
      </c>
      <c r="D24" s="10" t="inlineStr">
        <is>
          <t>WP</t>
        </is>
      </c>
      <c r="E24" s="10" t="inlineStr">
        <is>
          <t>Enabling</t>
        </is>
      </c>
      <c r="F24" s="4" t="inlineStr">
        <is>
          <t>Document &amp; contract store</t>
        </is>
      </c>
      <c r="G24" s="4" t="inlineStr">
        <is>
          <t>—</t>
        </is>
      </c>
      <c r="H24" s="10" t="inlineStr">
        <is>
          <t>HQ-&gt;cust</t>
        </is>
      </c>
      <c r="I24" s="10" t="inlineStr">
        <is>
          <t>digital</t>
        </is>
      </c>
      <c r="J24" s="10" t="inlineStr">
        <is>
          <t>Document mgmt</t>
        </is>
      </c>
      <c r="K24" s="10" t="inlineStr">
        <is>
          <t>—</t>
        </is>
      </c>
      <c r="L24" s="10" t="inlineStr">
        <is>
          <t>Ops manager</t>
        </is>
      </c>
      <c r="M24" s="4" t="inlineStr">
        <is>
          <t>Document Management &amp; Archive</t>
        </is>
      </c>
    </row>
    <row r="25">
      <c r="B25" s="42" t="inlineStr">
        <is>
          <t>S1</t>
        </is>
      </c>
      <c r="C25" s="10" t="inlineStr">
        <is>
          <t>Shared platform</t>
        </is>
      </c>
      <c r="D25" s="10" t="inlineStr">
        <is>
          <t>WP</t>
        </is>
      </c>
      <c r="E25" s="10" t="inlineStr">
        <is>
          <t>Support</t>
        </is>
      </c>
      <c r="F25" s="4" t="inlineStr">
        <is>
          <t>Service &amp; servicing</t>
        </is>
      </c>
      <c r="G25" s="4" t="inlineStr">
        <is>
          <t>—</t>
        </is>
      </c>
      <c r="H25" s="10" t="inlineStr">
        <is>
          <t>HQ-&gt;cust</t>
        </is>
      </c>
      <c r="I25" s="10" t="inlineStr">
        <is>
          <t>digital</t>
        </is>
      </c>
      <c r="J25" s="10" t="inlineStr">
        <is>
          <t>Contact centre</t>
        </is>
      </c>
      <c r="K25" s="10" t="inlineStr">
        <is>
          <t>Contact admin</t>
        </is>
      </c>
      <c r="L25" s="10" t="inlineStr">
        <is>
          <t>Service manager</t>
        </is>
      </c>
      <c r="M25" s="4" t="inlineStr">
        <is>
          <t>Customer Case Management · Servicing</t>
        </is>
      </c>
    </row>
    <row r="26">
      <c r="B26" s="42" t="inlineStr">
        <is>
          <t>S2</t>
        </is>
      </c>
      <c r="C26" s="10" t="inlineStr">
        <is>
          <t>Shared platform</t>
        </is>
      </c>
      <c r="D26" s="10" t="inlineStr">
        <is>
          <t>WP</t>
        </is>
      </c>
      <c r="E26" s="10" t="inlineStr">
        <is>
          <t>Support</t>
        </is>
      </c>
      <c r="F26" s="4" t="inlineStr">
        <is>
          <t>Statements &amp; advices</t>
        </is>
      </c>
      <c r="G26" s="4" t="inlineStr">
        <is>
          <t>—</t>
        </is>
      </c>
      <c r="H26" s="10" t="inlineStr">
        <is>
          <t>HQ-&gt;cust</t>
        </is>
      </c>
      <c r="I26" s="10" t="inlineStr">
        <is>
          <t>digital</t>
        </is>
      </c>
      <c r="J26" s="10" t="inlineStr">
        <is>
          <t>Document mgmt</t>
        </is>
      </c>
      <c r="K26" s="10" t="inlineStr">
        <is>
          <t>—</t>
        </is>
      </c>
      <c r="L26" s="10" t="inlineStr">
        <is>
          <t>Ops manager</t>
        </is>
      </c>
      <c r="M26" s="4" t="inlineStr">
        <is>
          <t>Customer Statement · Document Management &amp; Archive</t>
        </is>
      </c>
    </row>
    <row r="27">
      <c r="B27" s="42" t="inlineStr">
        <is>
          <t>S3</t>
        </is>
      </c>
      <c r="C27" s="10" t="inlineStr">
        <is>
          <t>Shared platform</t>
        </is>
      </c>
      <c r="D27" s="10" t="inlineStr">
        <is>
          <t>WP</t>
        </is>
      </c>
      <c r="E27" s="10" t="inlineStr">
        <is>
          <t>Support</t>
        </is>
      </c>
      <c r="F27" s="4" t="inlineStr">
        <is>
          <t>Complaint handling</t>
        </is>
      </c>
      <c r="G27" s="4" t="inlineStr">
        <is>
          <t>—</t>
        </is>
      </c>
      <c r="H27" s="10" t="inlineStr">
        <is>
          <t>HQ-&gt;cust</t>
        </is>
      </c>
      <c r="I27" s="10" t="inlineStr">
        <is>
          <t>physical</t>
        </is>
      </c>
      <c r="J27" s="10" t="inlineStr">
        <is>
          <t>Case management</t>
        </is>
      </c>
      <c r="K27" s="10" t="inlineStr">
        <is>
          <t>Complaints admin</t>
        </is>
      </c>
      <c r="L27" s="10" t="inlineStr">
        <is>
          <t>Conduct manager</t>
        </is>
      </c>
      <c r="M27" s="4" t="inlineStr">
        <is>
          <t>Customer Case Management · Card Case / chargebacks</t>
        </is>
      </c>
    </row>
    <row r="28">
      <c r="B28" s="42" t="inlineStr">
        <is>
          <t>S4</t>
        </is>
      </c>
      <c r="C28" s="10" t="inlineStr">
        <is>
          <t>Shared platform</t>
        </is>
      </c>
      <c r="D28" s="10" t="inlineStr">
        <is>
          <t>WP</t>
        </is>
      </c>
      <c r="E28" s="10" t="inlineStr">
        <is>
          <t>Support</t>
        </is>
      </c>
      <c r="F28" s="4" t="inlineStr">
        <is>
          <t>Fraud resolution</t>
        </is>
      </c>
      <c r="G28" s="4" t="inlineStr">
        <is>
          <t>—</t>
        </is>
      </c>
      <c r="H28" s="10" t="inlineStr">
        <is>
          <t>HQ-&gt;cust</t>
        </is>
      </c>
      <c r="I28" s="10" t="inlineStr">
        <is>
          <t>physical</t>
        </is>
      </c>
      <c r="J28" s="10" t="inlineStr">
        <is>
          <t>Fraud &amp; FinCrime</t>
        </is>
      </c>
      <c r="K28" s="10" t="inlineStr">
        <is>
          <t>Fraud admin</t>
        </is>
      </c>
      <c r="L28" s="10" t="inlineStr">
        <is>
          <t>Fin-crime manager</t>
        </is>
      </c>
      <c r="M28" s="4" t="inlineStr">
        <is>
          <t>Fraud Resolution · Fraud Models</t>
        </is>
      </c>
    </row>
    <row r="29">
      <c r="B29" s="42" t="inlineStr">
        <is>
          <t>PartP1</t>
        </is>
      </c>
      <c r="C29" s="10" t="inlineStr">
        <is>
          <t>Shared platform</t>
        </is>
      </c>
      <c r="D29" s="10" t="inlineStr">
        <is>
          <t>PartP</t>
        </is>
      </c>
      <c r="E29" s="10" t="inlineStr">
        <is>
          <t>Partner</t>
        </is>
      </c>
      <c r="F29" s="4" t="inlineStr">
        <is>
          <t>Partner rails (BoE · schemes · PO · CRAs · FSCS)</t>
        </is>
      </c>
      <c r="G29" s="4" t="inlineStr">
        <is>
          <t>—</t>
        </is>
      </c>
      <c r="H29" s="10" t="inlineStr">
        <is>
          <t>HQ&lt;-&gt;partner</t>
        </is>
      </c>
      <c r="I29" s="10" t="inlineStr">
        <is>
          <t>mixed</t>
        </is>
      </c>
      <c r="J29" s="10" t="inlineStr">
        <is>
          <t>Treasury · Ops</t>
        </is>
      </c>
      <c r="K29" s="10" t="inlineStr">
        <is>
          <t>—</t>
        </is>
      </c>
      <c r="L29" s="10" t="inlineStr">
        <is>
          <t>COO</t>
        </is>
      </c>
      <c r="M29" s="4" t="inlineStr">
        <is>
          <t>Correspondent Bank · Financial Message Gateway · External Agency · Compliance Reporting</t>
        </is>
      </c>
    </row>
    <row r="30">
      <c r="B30" s="42" t="inlineStr">
        <is>
          <t>PartP2</t>
        </is>
      </c>
      <c r="C30" s="10" t="inlineStr">
        <is>
          <t>Bank boundary</t>
        </is>
      </c>
      <c r="D30" s="10" t="inlineStr">
        <is>
          <t>PartP</t>
        </is>
      </c>
      <c r="E30" s="10" t="inlineStr">
        <is>
          <t>Capital</t>
        </is>
      </c>
      <c r="F30" s="4" t="inlineStr">
        <is>
          <t>Shareholders — equity in · dividends &amp; returns out</t>
        </is>
      </c>
      <c r="G30" s="4" t="inlineStr">
        <is>
          <t>—</t>
        </is>
      </c>
      <c r="H30" s="10" t="inlineStr">
        <is>
          <t>HQ&lt;-&gt;shareholders</t>
        </is>
      </c>
      <c r="I30" s="10" t="inlineStr">
        <is>
          <t>digital</t>
        </is>
      </c>
      <c r="J30" s="10" t="inlineStr">
        <is>
          <t>Finance</t>
        </is>
      </c>
      <c r="K30" s="10" t="inlineStr">
        <is>
          <t>Finance admin</t>
        </is>
      </c>
      <c r="L30" s="10" t="inlineStr">
        <is>
          <t>CFO</t>
        </is>
      </c>
      <c r="M30" s="4" t="inlineStr">
        <is>
          <t>Financial Control · Investor Relations</t>
        </is>
      </c>
    </row>
    <row r="31">
      <c r="B31" s="42" t="inlineStr">
        <is>
          <t>PartP3</t>
        </is>
      </c>
      <c r="C31" s="10" t="inlineStr">
        <is>
          <t>Bank boundary</t>
        </is>
      </c>
      <c r="D31" s="10" t="inlineStr">
        <is>
          <t>PartP</t>
        </is>
      </c>
      <c r="E31" s="10" t="inlineStr">
        <is>
          <t>Labour</t>
        </is>
      </c>
      <c r="F31" s="4" t="inlineStr">
        <is>
          <t>Employees — labour in · salaries &amp; benefits out</t>
        </is>
      </c>
      <c r="G31" s="4" t="inlineStr">
        <is>
          <t>—</t>
        </is>
      </c>
      <c r="H31" s="10" t="inlineStr">
        <is>
          <t>HQ&lt;-&gt;employees</t>
        </is>
      </c>
      <c r="I31" s="10" t="inlineStr">
        <is>
          <t>mixed</t>
        </is>
      </c>
      <c r="J31" s="10" t="inlineStr">
        <is>
          <t>HR</t>
        </is>
      </c>
      <c r="K31" s="10" t="inlineStr">
        <is>
          <t>HR admin</t>
        </is>
      </c>
      <c r="L31" s="10" t="inlineStr">
        <is>
          <t>HR Director</t>
        </is>
      </c>
      <c r="M31" s="4" t="inlineStr">
        <is>
          <t>HR Management</t>
        </is>
      </c>
    </row>
    <row r="32">
      <c r="B32" s="42" t="inlineStr">
        <is>
          <t>PartP4</t>
        </is>
      </c>
      <c r="C32" s="10" t="inlineStr">
        <is>
          <t>Bank boundary</t>
        </is>
      </c>
      <c r="D32" s="10" t="inlineStr">
        <is>
          <t>PartP</t>
        </is>
      </c>
      <c r="E32" s="10" t="inlineStr">
        <is>
          <t>Supply</t>
        </is>
      </c>
      <c r="F32" s="4" t="inlineStr">
        <is>
          <t>Suppliers &amp; vendors — services in · payments out (tech · premises · professional)</t>
        </is>
      </c>
      <c r="G32" s="4" t="inlineStr">
        <is>
          <t>—</t>
        </is>
      </c>
      <c r="H32" s="10" t="inlineStr">
        <is>
          <t>HQ&lt;-&gt;suppliers</t>
        </is>
      </c>
      <c r="I32" s="10" t="inlineStr">
        <is>
          <t>mixed</t>
        </is>
      </c>
      <c r="J32" s="10" t="inlineStr">
        <is>
          <t>Procurement</t>
        </is>
      </c>
      <c r="K32" s="10" t="inlineStr">
        <is>
          <t>Procurement admin</t>
        </is>
      </c>
      <c r="L32" s="10" t="inlineStr">
        <is>
          <t>Head of Procurement</t>
        </is>
      </c>
      <c r="M32" s="4" t="inlineStr">
        <is>
          <t>Procurement · Fixed Asset Register</t>
        </is>
      </c>
    </row>
    <row r="33">
      <c r="B33" s="42" t="inlineStr">
        <is>
          <t>I1</t>
        </is>
      </c>
      <c r="C33" s="10" t="inlineStr">
        <is>
          <t>Bank boundary</t>
        </is>
      </c>
      <c r="D33" s="10" t="inlineStr">
        <is>
          <t>Info</t>
        </is>
      </c>
      <c r="E33" s="10" t="inlineStr">
        <is>
          <t>Info-out</t>
        </is>
      </c>
      <c r="F33" s="4" t="inlineStr">
        <is>
          <t>Regulatory returns &amp; reporting out (PRA · FCA · BoE)</t>
        </is>
      </c>
      <c r="G33" s="4" t="inlineStr">
        <is>
          <t>—</t>
        </is>
      </c>
      <c r="H33" s="10" t="inlineStr">
        <is>
          <t>HQ-&gt;regulator</t>
        </is>
      </c>
      <c r="I33" s="10" t="inlineStr">
        <is>
          <t>digital</t>
        </is>
      </c>
      <c r="J33" s="10" t="inlineStr">
        <is>
          <t>Reg reporting</t>
        </is>
      </c>
      <c r="K33" s="10" t="inlineStr">
        <is>
          <t>Finance admin</t>
        </is>
      </c>
      <c r="L33" s="10" t="inlineStr">
        <is>
          <t>Head of Regulatory Reporting</t>
        </is>
      </c>
      <c r="M33" s="4" t="inlineStr">
        <is>
          <t>Compliance Reporting · Regulatory Compliance</t>
        </is>
      </c>
    </row>
    <row r="34">
      <c r="B34" s="42" t="inlineStr">
        <is>
          <t>I2</t>
        </is>
      </c>
      <c r="C34" s="10" t="inlineStr">
        <is>
          <t>Bank boundary</t>
        </is>
      </c>
      <c r="D34" s="10" t="inlineStr">
        <is>
          <t>Info</t>
        </is>
      </c>
      <c r="E34" s="10" t="inlineStr">
        <is>
          <t>Info-out</t>
        </is>
      </c>
      <c r="F34" s="4" t="inlineStr">
        <is>
          <t>Credit performance data out to CRAs (reciprocity)</t>
        </is>
      </c>
      <c r="G34" s="4" t="inlineStr">
        <is>
          <t>—</t>
        </is>
      </c>
      <c r="H34" s="10" t="inlineStr">
        <is>
          <t>HQ-&gt;CRAs</t>
        </is>
      </c>
      <c r="I34" s="10" t="inlineStr">
        <is>
          <t>digital</t>
        </is>
      </c>
      <c r="J34" s="10" t="inlineStr">
        <is>
          <t>Credit ops</t>
        </is>
      </c>
      <c r="K34" s="10" t="inlineStr">
        <is>
          <t>—</t>
        </is>
      </c>
      <c r="L34" s="10" t="inlineStr">
        <is>
          <t>Credit Director</t>
        </is>
      </c>
      <c r="M34" s="4" t="inlineStr">
        <is>
          <t>Customer Credit Rating · External Agency</t>
        </is>
      </c>
    </row>
    <row r="35">
      <c r="B35" s="42" t="inlineStr">
        <is>
          <t>I3</t>
        </is>
      </c>
      <c r="C35" s="10" t="inlineStr">
        <is>
          <t>Bank boundary</t>
        </is>
      </c>
      <c r="D35" s="10" t="inlineStr">
        <is>
          <t>Info</t>
        </is>
      </c>
      <c r="E35" s="10" t="inlineStr">
        <is>
          <t>Info-out</t>
        </is>
      </c>
      <c r="F35" s="4" t="inlineStr">
        <is>
          <t>Open Banking data out to TPPs (customer-permissioned, via E3)</t>
        </is>
      </c>
      <c r="G35" s="4" t="inlineStr">
        <is>
          <t>—</t>
        </is>
      </c>
      <c r="H35" s="10" t="inlineStr">
        <is>
          <t>HQ-&gt;TPPs</t>
        </is>
      </c>
      <c r="I35" s="10" t="inlineStr">
        <is>
          <t>digital</t>
        </is>
      </c>
      <c r="J35" s="10" t="inlineStr">
        <is>
          <t>Digital · IT</t>
        </is>
      </c>
      <c r="K35" s="10" t="inlineStr">
        <is>
          <t>—</t>
        </is>
      </c>
      <c r="L35" s="10" t="inlineStr">
        <is>
          <t>Head of Digital</t>
        </is>
      </c>
      <c r="M35" s="4" t="inlineStr">
        <is>
          <t>Financial Message Gateway</t>
        </is>
      </c>
    </row>
    <row r="37">
      <c r="B37" s="7" t="inlineStr">
        <is>
          <t>PER-FLOW COSTED ACTIVITIES &amp; DRI — activity cost per flow with [low, high] band; one accountable owner per flow</t>
        </is>
      </c>
      <c r="C37" s="8" t="inlineStr"/>
      <c r="D37" s="8" t="inlineStr"/>
      <c r="E37" s="8" t="inlineStr"/>
      <c r="F37" s="8" t="inlineStr"/>
      <c r="G37" s="8" t="inlineStr"/>
      <c r="H37" s="8" t="inlineStr"/>
      <c r="I37" s="8" t="inlineStr"/>
      <c r="J37" s="8" t="inlineStr"/>
      <c r="K37" s="8" t="inlineStr"/>
    </row>
    <row r="38">
      <c r="B38" s="45" t="inlineStr">
        <is>
          <t>Flow</t>
        </is>
      </c>
      <c r="C38" s="45" t="inlineStr">
        <is>
          <t>DRI (single accountable owner)</t>
        </is>
      </c>
      <c r="D38" s="45" t="inlineStr">
        <is>
          <t>Activity cost (£/yr)</t>
        </is>
      </c>
      <c r="E38" s="45" t="inlineStr">
        <is>
          <t>Low (£/yr)</t>
        </is>
      </c>
      <c r="F38" s="45" t="inlineStr">
        <is>
          <t>High (£/yr)</t>
        </is>
      </c>
      <c r="G38" s="45" t="inlineStr">
        <is>
          <t>Costed via</t>
        </is>
      </c>
    </row>
    <row r="39">
      <c r="B39" s="42" t="inlineStr">
        <is>
          <t>CP1</t>
        </is>
      </c>
      <c r="C39" s="10" t="inlineStr">
        <is>
          <t>Head of Marketing</t>
        </is>
      </c>
      <c r="D39" s="46">
        <f>SUMIF('3. HR &amp; Activity'!$I$11:$I$33,"*CP1*",'3. HR &amp; Activity'!$H$11:$H$33)</f>
        <v/>
      </c>
      <c r="E39" s="46">
        <f>SUMIF('3. HR &amp; Activity'!$I$11:$I$33,"*CP1*",'3. HR &amp; Activity'!$J$11:$J$33)</f>
        <v/>
      </c>
      <c r="F39" s="46">
        <f>SUMIF('3. HR &amp; Activity'!$I$11:$I$33,"*CP1*",'3. HR &amp; Activity'!$K$11:$K$33)</f>
        <v/>
      </c>
      <c r="G39" s="5" t="inlineStr">
        <is>
          <t>Churn-replacement acquisition driver-costed (cac_new × new customers won); residual brand pool (in hq_oh) pool-costed</t>
        </is>
      </c>
    </row>
    <row r="40">
      <c r="B40" s="42" t="inlineStr">
        <is>
          <t>CA-WP</t>
        </is>
      </c>
      <c r="C40" s="10" t="inlineStr">
        <is>
          <t>Head of Business Current Accounts</t>
        </is>
      </c>
      <c r="D40" s="46">
        <f>SUMIF('3. HR &amp; Activity'!$I$11:$I$33,"*CA-WP*",'3. HR &amp; Activity'!$H$11:$H$33)</f>
        <v/>
      </c>
      <c r="E40" s="46">
        <f>SUMIF('3. HR &amp; Activity'!$I$11:$I$33,"*CA-WP*",'3. HR &amp; Activity'!$J$11:$J$33)</f>
        <v/>
      </c>
      <c r="F40" s="46">
        <f>SUMIF('3. HR &amp; Activity'!$I$11:$I$33,"*CA-WP*",'3. HR &amp; Activity'!$K$11:$K$33)</f>
        <v/>
      </c>
      <c r="G40" s="5" t="inlineStr">
        <is>
          <t>Activity rows (onboarding incl. KYC screening · account servicing) + per-account infrastructure drivers</t>
        </is>
      </c>
    </row>
    <row r="41">
      <c r="B41" s="42" t="inlineStr">
        <is>
          <t>CA-PP1</t>
        </is>
      </c>
      <c r="C41" s="10" t="inlineStr">
        <is>
          <t>Head of Business Current Accounts</t>
        </is>
      </c>
      <c r="D41" s="46">
        <f>SUMIF('3. HR &amp; Activity'!$I$11:$I$33,"*CA-PP1*",'3. HR &amp; Activity'!$H$11:$H$33)</f>
        <v/>
      </c>
      <c r="E41" s="46">
        <f>SUMIF('3. HR &amp; Activity'!$I$11:$I$33,"*CA-PP1*",'3. HR &amp; Activity'!$J$11:$J$33)</f>
        <v/>
      </c>
      <c r="F41" s="46">
        <f>SUMIF('3. HR &amp; Activity'!$I$11:$I$33,"*CA-PP1*",'3. HR &amp; Activity'!$K$11:$K$33)</f>
        <v/>
      </c>
      <c r="G41" s="5" t="inlineStr">
        <is>
          <t>Billing inside payments infrastructure (pay_bca driver)</t>
        </is>
      </c>
    </row>
    <row r="42">
      <c r="B42" s="42" t="inlineStr">
        <is>
          <t>SV-WP</t>
        </is>
      </c>
      <c r="C42" s="10" t="inlineStr">
        <is>
          <t>Head of Deposits</t>
        </is>
      </c>
      <c r="D42" s="46">
        <f>SUMIF('3. HR &amp; Activity'!$I$11:$I$33,"*SV-WP*",'3. HR &amp; Activity'!$H$11:$H$33)</f>
        <v/>
      </c>
      <c r="E42" s="46">
        <f>SUMIF('3. HR &amp; Activity'!$I$11:$I$33,"*SV-WP*",'3. HR &amp; Activity'!$J$11:$J$33)</f>
        <v/>
      </c>
      <c r="F42" s="46">
        <f>SUMIF('3. HR &amp; Activity'!$I$11:$I$33,"*SV-WP*",'3. HR &amp; Activity'!$K$11:$K$33)</f>
        <v/>
      </c>
      <c r="G42" s="5" t="inlineStr">
        <is>
          <t>Activity rows (savings &amp; deposit servicing)</t>
        </is>
      </c>
    </row>
    <row r="43">
      <c r="B43" s="42" t="inlineStr">
        <is>
          <t>SV-PP1</t>
        </is>
      </c>
      <c r="C43" s="10" t="inlineStr">
        <is>
          <t>Treasurer</t>
        </is>
      </c>
      <c r="D43" s="46">
        <f>SUMIF('3. HR &amp; Activity'!$I$11:$I$33,"*SV-PP1*",'3. HR &amp; Activity'!$H$11:$H$33)</f>
        <v/>
      </c>
      <c r="E43" s="46">
        <f>SUMIF('3. HR &amp; Activity'!$I$11:$I$33,"*SV-PP1*",'3. HR &amp; Activity'!$J$11:$J$33)</f>
        <v/>
      </c>
      <c r="F43" s="46">
        <f>SUMIF('3. HR &amp; Activity'!$I$11:$I$33,"*SV-PP1*",'3. HR &amp; Activity'!$K$11:$K$33)</f>
        <v/>
      </c>
      <c r="G43" s="5" t="inlineStr">
        <is>
          <t>Treasury/settlement — infrastructure drivers, no front-line activity rows</t>
        </is>
      </c>
    </row>
    <row r="44">
      <c r="B44" s="42" t="inlineStr">
        <is>
          <t>SV-PP2</t>
        </is>
      </c>
      <c r="C44" s="10" t="inlineStr">
        <is>
          <t>Treasurer</t>
        </is>
      </c>
      <c r="D44" s="46">
        <f>SUMIF('3. HR &amp; Activity'!$I$11:$I$33,"*SV-PP2*",'3. HR &amp; Activity'!$H$11:$H$33)</f>
        <v/>
      </c>
      <c r="E44" s="46">
        <f>SUMIF('3. HR &amp; Activity'!$I$11:$I$33,"*SV-PP2*",'3. HR &amp; Activity'!$J$11:$J$33)</f>
        <v/>
      </c>
      <c r="F44" s="46">
        <f>SUMIF('3. HR &amp; Activity'!$I$11:$I$33,"*SV-PP2*",'3. HR &amp; Activity'!$K$11:$K$33)</f>
        <v/>
      </c>
      <c r="G44" s="5" t="inlineStr">
        <is>
          <t>Interest posting — automated; core banking driver (core_acct)</t>
        </is>
      </c>
    </row>
    <row r="45">
      <c r="B45" s="42" t="inlineStr">
        <is>
          <t>LN-WP</t>
        </is>
      </c>
      <c r="C45" s="10" t="inlineStr">
        <is>
          <t>Credit Director</t>
        </is>
      </c>
      <c r="D45" s="46">
        <f>SUMIF('3. HR &amp; Activity'!$I$11:$I$33,"*LN-WP*",'3. HR &amp; Activity'!$H$11:$H$33)</f>
        <v/>
      </c>
      <c r="E45" s="46">
        <f>SUMIF('3. HR &amp; Activity'!$I$11:$I$33,"*LN-WP*",'3. HR &amp; Activity'!$J$11:$J$33)</f>
        <v/>
      </c>
      <c r="F45" s="46">
        <f>SUMIF('3. HR &amp; Activity'!$I$11:$I$33,"*LN-WP*",'3. HR &amp; Activity'!$K$11:$K$33)</f>
        <v/>
      </c>
      <c r="G45" s="5" t="inlineStr">
        <is>
          <t>Activity rows (underwriting · reviews · IF monitoring · collections · collateral · workout) + RM origination/stewardship (tab 3 RM system)</t>
        </is>
      </c>
    </row>
    <row r="46">
      <c r="B46" s="42" t="inlineStr">
        <is>
          <t>LN-PP1</t>
        </is>
      </c>
      <c r="C46" s="10" t="inlineStr">
        <is>
          <t>Treasurer</t>
        </is>
      </c>
      <c r="D46" s="46">
        <f>SUMIF('3. HR &amp; Activity'!$I$11:$I$33,"*LN-PP1*",'3. HR &amp; Activity'!$H$11:$H$33)</f>
        <v/>
      </c>
      <c r="E46" s="46">
        <f>SUMIF('3. HR &amp; Activity'!$I$11:$I$33,"*LN-PP1*",'3. HR &amp; Activity'!$J$11:$J$33)</f>
        <v/>
      </c>
      <c r="F46" s="46">
        <f>SUMIF('3. HR &amp; Activity'!$I$11:$I$33,"*LN-PP1*",'3. HR &amp; Activity'!$K$11:$K$33)</f>
        <v/>
      </c>
      <c r="G46" s="5" t="inlineStr">
        <is>
          <t>Drawdown execution — payments infrastructure</t>
        </is>
      </c>
    </row>
    <row r="47">
      <c r="B47" s="42" t="inlineStr">
        <is>
          <t>LN-PP2</t>
        </is>
      </c>
      <c r="C47" s="10" t="inlineStr">
        <is>
          <t>Head of Payments &amp; FX</t>
        </is>
      </c>
      <c r="D47" s="46">
        <f>SUMIF('3. HR &amp; Activity'!$I$11:$I$33,"*LN-PP2*",'3. HR &amp; Activity'!$H$11:$H$33)</f>
        <v/>
      </c>
      <c r="E47" s="46">
        <f>SUMIF('3. HR &amp; Activity'!$I$11:$I$33,"*LN-PP2*",'3. HR &amp; Activity'!$J$11:$J$33)</f>
        <v/>
      </c>
      <c r="F47" s="46">
        <f>SUMIF('3. HR &amp; Activity'!$I$11:$I$33,"*LN-PP2*",'3. HR &amp; Activity'!$K$11:$K$33)</f>
        <v/>
      </c>
      <c r="G47" s="5" t="inlineStr">
        <is>
          <t>Collection &amp; application of repayments — payments infrastructure</t>
        </is>
      </c>
    </row>
    <row r="48">
      <c r="B48" s="42" t="inlineStr">
        <is>
          <t>CC-WP</t>
        </is>
      </c>
      <c r="C48" s="10" t="inlineStr">
        <is>
          <t>Head of Cards</t>
        </is>
      </c>
      <c r="D48" s="46">
        <f>SUMIF('3. HR &amp; Activity'!$I$11:$I$33,"*CC-WP*",'3. HR &amp; Activity'!$H$11:$H$33)</f>
        <v/>
      </c>
      <c r="E48" s="46">
        <f>SUMIF('3. HR &amp; Activity'!$I$11:$I$33,"*CC-WP*",'3. HR &amp; Activity'!$J$11:$J$33)</f>
        <v/>
      </c>
      <c r="F48" s="46">
        <f>SUMIF('3. HR &amp; Activity'!$I$11:$I$33,"*CC-WP*",'3. HR &amp; Activity'!$K$11:$K$33)</f>
        <v/>
      </c>
      <c r="G48" s="5" t="inlineStr">
        <is>
          <t>Activity rows (card servicing · card collections) + credit systems driver (credit_fac)</t>
        </is>
      </c>
    </row>
    <row r="49">
      <c r="B49" s="42" t="inlineStr">
        <is>
          <t>CC-PP1</t>
        </is>
      </c>
      <c r="C49" s="10" t="inlineStr">
        <is>
          <t>Head of Cards</t>
        </is>
      </c>
      <c r="D49" s="46">
        <f>SUMIF('3. HR &amp; Activity'!$I$11:$I$33,"*CC-PP1*",'3. HR &amp; Activity'!$H$11:$H$33)</f>
        <v/>
      </c>
      <c r="E49" s="46">
        <f>SUMIF('3. HR &amp; Activity'!$I$11:$I$33,"*CC-PP1*",'3. HR &amp; Activity'!$J$11:$J$33)</f>
        <v/>
      </c>
      <c r="F49" s="46">
        <f>SUMIF('3. HR &amp; Activity'!$I$11:$I$33,"*CC-PP1*",'3. HR &amp; Activity'!$K$11:$K$33)</f>
        <v/>
      </c>
      <c r="G49" s="5" t="inlineStr">
        <is>
          <t>Scheme settlement — scheme fees inside tech pool</t>
        </is>
      </c>
    </row>
    <row r="50">
      <c r="B50" s="42" t="inlineStr">
        <is>
          <t>CC-PP2</t>
        </is>
      </c>
      <c r="C50" s="10" t="inlineStr">
        <is>
          <t>Head of Cards</t>
        </is>
      </c>
      <c r="D50" s="46">
        <f>SUMIF('3. HR &amp; Activity'!$I$11:$I$33,"*CC-PP2*",'3. HR &amp; Activity'!$H$11:$H$33)</f>
        <v/>
      </c>
      <c r="E50" s="46">
        <f>SUMIF('3. HR &amp; Activity'!$I$11:$I$33,"*CC-PP2*",'3. HR &amp; Activity'!$J$11:$J$33)</f>
        <v/>
      </c>
      <c r="F50" s="46">
        <f>SUMIF('3. HR &amp; Activity'!$I$11:$I$33,"*CC-PP2*",'3. HR &amp; Activity'!$K$11:$K$33)</f>
        <v/>
      </c>
      <c r="G50" s="5" t="inlineStr">
        <is>
          <t>Interchange collection — scheme rails</t>
        </is>
      </c>
    </row>
    <row r="51">
      <c r="B51" s="42" t="inlineStr">
        <is>
          <t>PX-WP</t>
        </is>
      </c>
      <c r="C51" s="10" t="inlineStr">
        <is>
          <t>Head of Payments &amp; FX</t>
        </is>
      </c>
      <c r="D51" s="46">
        <f>SUMIF('3. HR &amp; Activity'!$I$11:$I$33,"*PX-WP*",'3. HR &amp; Activity'!$H$11:$H$33)</f>
        <v/>
      </c>
      <c r="E51" s="46">
        <f>SUMIF('3. HR &amp; Activity'!$I$11:$I$33,"*PX-WP*",'3. HR &amp; Activity'!$J$11:$J$33)</f>
        <v/>
      </c>
      <c r="F51" s="46">
        <f>SUMIF('3. HR &amp; Activity'!$I$11:$I$33,"*PX-WP*",'3. HR &amp; Activity'!$K$11:$K$33)</f>
        <v/>
      </c>
      <c r="G51" s="5" t="inlineStr">
        <is>
          <t>Activity rows (payments &amp; FX support) + payments processing driver (pay_bca)</t>
        </is>
      </c>
    </row>
    <row r="52">
      <c r="B52" s="42" t="inlineStr">
        <is>
          <t>PX-PP1</t>
        </is>
      </c>
      <c r="C52" s="10" t="inlineStr">
        <is>
          <t>Head of Payments &amp; FX</t>
        </is>
      </c>
      <c r="D52" s="46">
        <f>SUMIF('3. HR &amp; Activity'!$I$11:$I$33,"*PX-PP1*",'3. HR &amp; Activity'!$H$11:$H$33)</f>
        <v/>
      </c>
      <c r="E52" s="46">
        <f>SUMIF('3. HR &amp; Activity'!$I$11:$I$33,"*PX-PP1*",'3. HR &amp; Activity'!$J$11:$J$33)</f>
        <v/>
      </c>
      <c r="F52" s="46">
        <f>SUMIF('3. HR &amp; Activity'!$I$11:$I$33,"*PX-PP1*",'3. HR &amp; Activity'!$K$11:$K$33)</f>
        <v/>
      </c>
      <c r="G52" s="5" t="inlineStr">
        <is>
          <t>Payment execution — payments infrastructure + scheme fees</t>
        </is>
      </c>
    </row>
    <row r="53">
      <c r="B53" s="42" t="inlineStr">
        <is>
          <t>PX-PP2</t>
        </is>
      </c>
      <c r="C53" s="10" t="inlineStr">
        <is>
          <t>Head of Payments &amp; FX</t>
        </is>
      </c>
      <c r="D53" s="46">
        <f>SUMIF('3. HR &amp; Activity'!$I$11:$I$33,"*PX-PP2*",'3. HR &amp; Activity'!$H$11:$H$33)</f>
        <v/>
      </c>
      <c r="E53" s="46">
        <f>SUMIF('3. HR &amp; Activity'!$I$11:$I$33,"*PX-PP2*",'3. HR &amp; Activity'!$J$11:$J$33)</f>
        <v/>
      </c>
      <c r="F53" s="46">
        <f>SUMIF('3. HR &amp; Activity'!$I$11:$I$33,"*PX-PP2*",'3. HR &amp; Activity'!$K$11:$K$33)</f>
        <v/>
      </c>
      <c r="G53" s="5" t="inlineStr">
        <is>
          <t>Receipt processing — payments infrastructure</t>
        </is>
      </c>
    </row>
    <row r="54">
      <c r="B54" s="42" t="inlineStr">
        <is>
          <t>E1</t>
        </is>
      </c>
      <c r="C54" s="10" t="inlineStr">
        <is>
          <t>Head of Digital</t>
        </is>
      </c>
      <c r="D54" s="46">
        <f>SUMIF('3. HR &amp; Activity'!$I$11:$I$33,"*E1*",'3. HR &amp; Activity'!$H$11:$H$33)</f>
        <v/>
      </c>
      <c r="E54" s="46">
        <f>SUMIF('3. HR &amp; Activity'!$I$11:$I$33,"*E1*",'3. HR &amp; Activity'!$J$11:$J$33)</f>
        <v/>
      </c>
      <c r="F54" s="46">
        <f>SUMIF('3. HR &amp; Activity'!$I$11:$I$33,"*E1*",'3. HR &amp; Activity'!$K$11:$K$33)</f>
        <v/>
      </c>
      <c r="G54" s="5" t="inlineStr">
        <is>
          <t>Tech per-customer driver (tech_acct) + HQ tech pool — no activity rows</t>
        </is>
      </c>
    </row>
    <row r="55">
      <c r="B55" s="42" t="inlineStr">
        <is>
          <t>E2</t>
        </is>
      </c>
      <c r="C55" s="10" t="inlineStr">
        <is>
          <t>Head of Business Current Accounts</t>
        </is>
      </c>
      <c r="D55" s="46">
        <f>SUMIF('3. HR &amp; Activity'!$I$11:$I$33,"*E2*",'3. HR &amp; Activity'!$H$11:$H$33)</f>
        <v/>
      </c>
      <c r="E55" s="46">
        <f>SUMIF('3. HR &amp; Activity'!$I$11:$I$33,"*E2*",'3. HR &amp; Activity'!$J$11:$J$33)</f>
        <v/>
      </c>
      <c r="F55" s="46">
        <f>SUMIF('3. HR &amp; Activity'!$I$11:$I$33,"*E2*",'3. HR &amp; Activity'!$K$11:$K$33)</f>
        <v/>
      </c>
      <c r="G55" s="5" t="inlineStr">
        <is>
          <t>Card issuance &amp; scheme costs — tech pool</t>
        </is>
      </c>
    </row>
    <row r="56">
      <c r="B56" s="42" t="inlineStr">
        <is>
          <t>E3</t>
        </is>
      </c>
      <c r="C56" s="10" t="inlineStr">
        <is>
          <t>Head of Digital</t>
        </is>
      </c>
      <c r="D56" s="46">
        <f>SUMIF('3. HR &amp; Activity'!$I$11:$I$33,"*E3*",'3. HR &amp; Activity'!$H$11:$H$33)</f>
        <v/>
      </c>
      <c r="E56" s="46">
        <f>SUMIF('3. HR &amp; Activity'!$I$11:$I$33,"*E3*",'3. HR &amp; Activity'!$J$11:$J$33)</f>
        <v/>
      </c>
      <c r="F56" s="46">
        <f>SUMIF('3. HR &amp; Activity'!$I$11:$I$33,"*E3*",'3. HR &amp; Activity'!$K$11:$K$33)</f>
        <v/>
      </c>
      <c r="G56" s="5" t="inlineStr">
        <is>
          <t>API/gateway — HQ tech pool</t>
        </is>
      </c>
    </row>
    <row r="57">
      <c r="B57" s="42" t="inlineStr">
        <is>
          <t>E4</t>
        </is>
      </c>
      <c r="C57" s="10" t="inlineStr">
        <is>
          <t>Head of Information Security</t>
        </is>
      </c>
      <c r="D57" s="46">
        <f>SUMIF('3. HR &amp; Activity'!$I$11:$I$33,"*E4*",'3. HR &amp; Activity'!$H$11:$H$33)</f>
        <v/>
      </c>
      <c r="E57" s="46">
        <f>SUMIF('3. HR &amp; Activity'!$I$11:$I$33,"*E4*",'3. HR &amp; Activity'!$J$11:$J$33)</f>
        <v/>
      </c>
      <c r="F57" s="46">
        <f>SUMIF('3. HR &amp; Activity'!$I$11:$I$33,"*E4*",'3. HR &amp; Activity'!$K$11:$K$33)</f>
        <v/>
      </c>
      <c r="G57" s="5" t="inlineStr">
        <is>
          <t>Authentication &amp; entitlement — HQ tech pool; KYC screening costed inside CA-WP onboarding</t>
        </is>
      </c>
    </row>
    <row r="58">
      <c r="B58" s="42" t="inlineStr">
        <is>
          <t>E5</t>
        </is>
      </c>
      <c r="C58" s="10" t="inlineStr">
        <is>
          <t>Head of Operations</t>
        </is>
      </c>
      <c r="D58" s="46">
        <f>SUMIF('3. HR &amp; Activity'!$I$11:$I$33,"*E5*",'3. HR &amp; Activity'!$H$11:$H$33)</f>
        <v/>
      </c>
      <c r="E58" s="46">
        <f>SUMIF('3. HR &amp; Activity'!$I$11:$I$33,"*E5*",'3. HR &amp; Activity'!$J$11:$J$33)</f>
        <v/>
      </c>
      <c r="F58" s="46">
        <f>SUMIF('3. HR &amp; Activity'!$I$11:$I$33,"*E5*",'3. HR &amp; Activity'!$K$11:$K$33)</f>
        <v/>
      </c>
      <c r="G58" s="5" t="inlineStr">
        <is>
          <t>Document store — HQ tech pool</t>
        </is>
      </c>
    </row>
    <row r="59">
      <c r="B59" s="42" t="inlineStr">
        <is>
          <t>S1</t>
        </is>
      </c>
      <c r="C59" s="10" t="inlineStr">
        <is>
          <t>Head of Customer Service</t>
        </is>
      </c>
      <c r="D59" s="46">
        <f>SUMIF('3. HR &amp; Activity'!$I$11:$I$33,"*S1*",'3. HR &amp; Activity'!$H$11:$H$33)</f>
        <v/>
      </c>
      <c r="E59" s="46">
        <f>SUMIF('3. HR &amp; Activity'!$I$11:$I$33,"*S1*",'3. HR &amp; Activity'!$J$11:$J$33)</f>
        <v/>
      </c>
      <c r="F59" s="46">
        <f>SUMIF('3. HR &amp; Activity'!$I$11:$I$33,"*S1*",'3. HR &amp; Activity'!$K$11:$K$33)</f>
        <v/>
      </c>
      <c r="G59" s="5" t="inlineStr">
        <is>
          <t>Contact-centre share of servicing activity rows (t_bca et al.)</t>
        </is>
      </c>
    </row>
    <row r="60">
      <c r="B60" s="42" t="inlineStr">
        <is>
          <t>S2</t>
        </is>
      </c>
      <c r="C60" s="10" t="inlineStr">
        <is>
          <t>Head of Operations</t>
        </is>
      </c>
      <c r="D60" s="46">
        <f>SUMIF('3. HR &amp; Activity'!$I$11:$I$33,"*S2*",'3. HR &amp; Activity'!$H$11:$H$33)</f>
        <v/>
      </c>
      <c r="E60" s="46">
        <f>SUMIF('3. HR &amp; Activity'!$I$11:$I$33,"*S2*",'3. HR &amp; Activity'!$J$11:$J$33)</f>
        <v/>
      </c>
      <c r="F60" s="46">
        <f>SUMIF('3. HR &amp; Activity'!$I$11:$I$33,"*S2*",'3. HR &amp; Activity'!$K$11:$K$33)</f>
        <v/>
      </c>
      <c r="G60" s="5" t="inlineStr">
        <is>
          <t>Statement generation — automated; core banking driver</t>
        </is>
      </c>
    </row>
    <row r="61">
      <c r="B61" s="42" t="inlineStr">
        <is>
          <t>S3</t>
        </is>
      </c>
      <c r="C61" s="10" t="inlineStr">
        <is>
          <t>Head of Conduct &amp; Complaints</t>
        </is>
      </c>
      <c r="D61" s="46">
        <f>SUMIF('3. HR &amp; Activity'!$I$11:$I$33,"*S3*",'3. HR &amp; Activity'!$H$11:$H$33)</f>
        <v/>
      </c>
      <c r="E61" s="46">
        <f>SUMIF('3. HR &amp; Activity'!$I$11:$I$33,"*S3*",'3. HR &amp; Activity'!$J$11:$J$33)</f>
        <v/>
      </c>
      <c r="F61" s="46">
        <f>SUMIF('3. HR &amp; Activity'!$I$11:$I$33,"*S3*",'3. HR &amp; Activity'!$K$11:$K$33)</f>
        <v/>
      </c>
      <c r="G61" s="5" t="inlineStr">
        <is>
          <t>Complaint handling — inside HQ risk pool; add an activity row if volumes become material</t>
        </is>
      </c>
    </row>
    <row r="62">
      <c r="B62" s="42" t="inlineStr">
        <is>
          <t>S4</t>
        </is>
      </c>
      <c r="C62" s="10" t="inlineStr">
        <is>
          <t>Head of Financial Crime</t>
        </is>
      </c>
      <c r="D62" s="46">
        <f>SUMIF('3. HR &amp; Activity'!$I$11:$I$33,"*S4*",'3. HR &amp; Activity'!$H$11:$H$33)</f>
        <v/>
      </c>
      <c r="E62" s="46">
        <f>SUMIF('3. HR &amp; Activity'!$I$11:$I$33,"*S4*",'3. HR &amp; Activity'!$J$11:$J$33)</f>
        <v/>
      </c>
      <c r="F62" s="46">
        <f>SUMIF('3. HR &amp; Activity'!$I$11:$I$33,"*S4*",'3. HR &amp; Activity'!$K$11:$K$33)</f>
        <v/>
      </c>
      <c r="G62" s="5" t="inlineStr">
        <is>
          <t>Fraud ops — HQ risk pool + fraud loss line (P&amp;L); reimbursement outflow shown in fidelity table</t>
        </is>
      </c>
    </row>
    <row r="63">
      <c r="B63" s="42" t="inlineStr">
        <is>
          <t>PartP1</t>
        </is>
      </c>
      <c r="C63" s="10" t="inlineStr">
        <is>
          <t>Treasurer</t>
        </is>
      </c>
      <c r="D63" s="46">
        <f>SUMIF('3. HR &amp; Activity'!$I$11:$I$33,"*PartP1*",'3. HR &amp; Activity'!$H$11:$H$33)</f>
        <v/>
      </c>
      <c r="E63" s="46">
        <f>SUMIF('3. HR &amp; Activity'!$I$11:$I$33,"*PartP1*",'3. HR &amp; Activity'!$J$11:$J$33)</f>
        <v/>
      </c>
      <c r="F63" s="46">
        <f>SUMIF('3. HR &amp; Activity'!$I$11:$I$33,"*PartP1*",'3. HR &amp; Activity'!$K$11:$K$33)</f>
        <v/>
      </c>
      <c r="G63" s="5" t="inlineStr">
        <is>
          <t>Treasury &amp; partner management — HQ pools</t>
        </is>
      </c>
    </row>
    <row r="64">
      <c r="B64" s="42" t="inlineStr">
        <is>
          <t>PartP2</t>
        </is>
      </c>
      <c r="C64" s="10" t="inlineStr">
        <is>
          <t>CFO</t>
        </is>
      </c>
      <c r="D64" s="46">
        <f>SUMIF('3. HR &amp; Activity'!$I$11:$I$33,"*PartP2*",'3. HR &amp; Activity'!$H$11:$H$33)</f>
        <v/>
      </c>
      <c r="E64" s="46">
        <f>SUMIF('3. HR &amp; Activity'!$I$11:$I$33,"*PartP2*",'3. HR &amp; Activity'!$J$11:$J$33)</f>
        <v/>
      </c>
      <c r="F64" s="46">
        <f>SUMIF('3. HR &amp; Activity'!$I$11:$I$33,"*PartP2*",'3. HR &amp; Activity'!$K$11:$K$33)</f>
        <v/>
      </c>
      <c r="G64" s="5" t="inlineStr">
        <is>
          <t>Equity servicing — required return line (tab 5)</t>
        </is>
      </c>
    </row>
    <row r="65">
      <c r="B65" s="42" t="inlineStr">
        <is>
          <t>PartP3</t>
        </is>
      </c>
      <c r="C65" s="10" t="inlineStr">
        <is>
          <t>HR Director</t>
        </is>
      </c>
      <c r="D65" s="46">
        <f>SUMIF('3. HR &amp; Activity'!$I$11:$I$33,"*PartP3*",'3. HR &amp; Activity'!$H$11:$H$33)</f>
        <v/>
      </c>
      <c r="E65" s="46">
        <f>SUMIF('3. HR &amp; Activity'!$I$11:$I$33,"*PartP3*",'3. HR &amp; Activity'!$J$11:$J$33)</f>
        <v/>
      </c>
      <c r="F65" s="46">
        <f>SUMIF('3. HR &amp; Activity'!$I$11:$I$33,"*PartP3*",'3. HR &amp; Activity'!$K$11:$K$33)</f>
        <v/>
      </c>
      <c r="G65" s="5" t="inlineStr">
        <is>
          <t>ALL front-line salary cost = the activity rows themselves; HQ salaries in HQ pools</t>
        </is>
      </c>
    </row>
    <row r="66">
      <c r="B66" s="42" t="inlineStr">
        <is>
          <t>PartP4</t>
        </is>
      </c>
      <c r="C66" s="10" t="inlineStr">
        <is>
          <t>Head of Procurement</t>
        </is>
      </c>
      <c r="D66" s="46">
        <f>SUMIF('3. HR &amp; Activity'!$I$11:$I$33,"*PartP4*",'3. HR &amp; Activity'!$H$11:$H$33)</f>
        <v/>
      </c>
      <c r="E66" s="46">
        <f>SUMIF('3. HR &amp; Activity'!$I$11:$I$33,"*PartP4*",'3. HR &amp; Activity'!$J$11:$J$33)</f>
        <v/>
      </c>
      <c r="F66" s="46">
        <f>SUMIF('3. HR &amp; Activity'!$I$11:$I$33,"*PartP4*",'3. HR &amp; Activity'!$K$11:$K$33)</f>
        <v/>
      </c>
      <c r="G66" s="5" t="inlineStr">
        <is>
          <t>Premises · depreciation · other · tech vendor lines (tab 4)</t>
        </is>
      </c>
    </row>
    <row r="67">
      <c r="B67" s="42" t="inlineStr">
        <is>
          <t>I1</t>
        </is>
      </c>
      <c r="C67" s="10" t="inlineStr">
        <is>
          <t>Head of Regulatory Reporting</t>
        </is>
      </c>
      <c r="D67" s="46">
        <f>SUMIF('3. HR &amp; Activity'!$I$11:$I$33,"*I1*",'3. HR &amp; Activity'!$H$11:$H$33)</f>
        <v/>
      </c>
      <c r="E67" s="46">
        <f>SUMIF('3. HR &amp; Activity'!$I$11:$I$33,"*I1*",'3. HR &amp; Activity'!$J$11:$J$33)</f>
        <v/>
      </c>
      <c r="F67" s="46">
        <f>SUMIF('3. HR &amp; Activity'!$I$11:$I$33,"*I1*",'3. HR &amp; Activity'!$K$11:$K$33)</f>
        <v/>
      </c>
      <c r="G67" s="5" t="inlineStr">
        <is>
          <t>Reg reporting — HQ risk/finance pools</t>
        </is>
      </c>
    </row>
    <row r="68">
      <c r="B68" s="42" t="inlineStr">
        <is>
          <t>I2</t>
        </is>
      </c>
      <c r="C68" s="10" t="inlineStr">
        <is>
          <t>Credit Director</t>
        </is>
      </c>
      <c r="D68" s="46">
        <f>SUMIF('3. HR &amp; Activity'!$I$11:$I$33,"*I2*",'3. HR &amp; Activity'!$H$11:$H$33)</f>
        <v/>
      </c>
      <c r="E68" s="46">
        <f>SUMIF('3. HR &amp; Activity'!$I$11:$I$33,"*I2*",'3. HR &amp; Activity'!$J$11:$J$33)</f>
        <v/>
      </c>
      <c r="F68" s="46">
        <f>SUMIF('3. HR &amp; Activity'!$I$11:$I$33,"*I2*",'3. HR &amp; Activity'!$K$11:$K$33)</f>
        <v/>
      </c>
      <c r="G68" s="5" t="inlineStr">
        <is>
          <t>Bureau reciprocity feeds — credit systems driver</t>
        </is>
      </c>
    </row>
    <row r="69">
      <c r="B69" s="42" t="inlineStr">
        <is>
          <t>I3</t>
        </is>
      </c>
      <c r="C69" s="10" t="inlineStr">
        <is>
          <t>Head of Digital</t>
        </is>
      </c>
      <c r="D69" s="46">
        <f>SUMIF('3. HR &amp; Activity'!$I$11:$I$33,"*I3*",'3. HR &amp; Activity'!$H$11:$H$33)</f>
        <v/>
      </c>
      <c r="E69" s="46">
        <f>SUMIF('3. HR &amp; Activity'!$I$11:$I$33,"*I3*",'3. HR &amp; Activity'!$J$11:$J$33)</f>
        <v/>
      </c>
      <c r="F69" s="46">
        <f>SUMIF('3. HR &amp; Activity'!$I$11:$I$33,"*I3*",'3. HR &amp; Activity'!$K$11:$K$33)</f>
        <v/>
      </c>
      <c r="G69" s="5" t="inlineStr">
        <is>
          <t>Open Banking service — HQ tech pool</t>
        </is>
      </c>
    </row>
    <row r="70">
      <c r="B70" s="60" t="inlineStr">
        <is>
          <t>CHECK — activity costs fully allocated to flows</t>
        </is>
      </c>
      <c r="D70" s="46">
        <f>SUMPRODUCT(('3. HR &amp; Activity'!$I$11:$I$33&lt;&gt;"")*'3. HR &amp; Activity'!$H$11:$H$33)-('4. Running Costs'!$C$25)</f>
        <v/>
      </c>
      <c r="G70" s="14" t="inlineStr">
        <is>
          <t>tagged activity cost minus analyst &amp; service payroll → 0 when every activity row carries a flow tag</t>
        </is>
      </c>
    </row>
    <row r="72">
      <c r="B72" s="5" t="inlineStr">
        <is>
          <t>A zero in 'Activity cost' does NOT mean a free flow — see 'Costed via': those flows are costed through per-account drivers, HQ pools, or P&amp;L lines. Bands are the default ±(act_lo/act_hi) factors pending evidenced per-activity ranges (IVE TPM discipline).</t>
        </is>
      </c>
    </row>
    <row r="74">
      <c r="B74" s="7" t="inlineStr">
        <is>
          <t>BANK-BOUNDARY FIDELITY CHECK — every P&amp;L money outflow ties to a flow (the money-outflow rule)</t>
        </is>
      </c>
      <c r="C74" s="8" t="inlineStr"/>
      <c r="D74" s="8" t="inlineStr"/>
      <c r="E74" s="8" t="inlineStr"/>
      <c r="F74" s="8" t="inlineStr"/>
      <c r="G74" s="8" t="inlineStr"/>
      <c r="H74" s="8" t="inlineStr"/>
      <c r="I74" s="8" t="inlineStr"/>
      <c r="J74" s="8" t="inlineStr"/>
      <c r="K74" s="8" t="inlineStr"/>
    </row>
    <row r="75">
      <c r="B75" s="9" t="inlineStr">
        <is>
          <t>P&amp;L outflow</t>
        </is>
      </c>
      <c r="C75" s="9" t="inlineStr">
        <is>
          <t>Carried by flow</t>
        </is>
      </c>
      <c r="D75" s="9" t="inlineStr">
        <is>
          <t>Status</t>
        </is>
      </c>
    </row>
    <row r="76">
      <c r="B76" s="4" t="inlineStr">
        <is>
          <t>Deposit interest paid</t>
        </is>
      </c>
      <c r="C76" s="4" t="inlineStr">
        <is>
          <t>SV-PP2</t>
        </is>
      </c>
      <c r="D76" s="10" t="inlineStr">
        <is>
          <t>✓</t>
        </is>
      </c>
    </row>
    <row r="77">
      <c r="B77" s="4" t="inlineStr">
        <is>
          <t>Wholesale funding cost (incl. interest to BoE/markets)</t>
        </is>
      </c>
      <c r="C77" s="4" t="inlineStr">
        <is>
          <t>PartP1 — Bank of England</t>
        </is>
      </c>
      <c r="D77" s="10" t="inlineStr">
        <is>
          <t>✓</t>
        </is>
      </c>
    </row>
    <row r="78">
      <c r="B78" s="4" t="inlineStr">
        <is>
          <t>Staff salaries &amp; benefits (front line + HQ)</t>
        </is>
      </c>
      <c r="C78" s="4" t="inlineStr">
        <is>
          <t>PartP3 — Employees</t>
        </is>
      </c>
      <c r="D78" s="10" t="inlineStr">
        <is>
          <t>✓ (added)</t>
        </is>
      </c>
    </row>
    <row r="79">
      <c r="B79" s="4" t="inlineStr">
        <is>
          <t>Premises · depreciation · other · tech &amp; vendor payments</t>
        </is>
      </c>
      <c r="C79" s="4" t="inlineStr">
        <is>
          <t>PartP4 — Suppliers &amp; vendors</t>
        </is>
      </c>
      <c r="D79" s="10" t="inlineStr">
        <is>
          <t>✓ (added)</t>
        </is>
      </c>
    </row>
    <row r="80">
      <c r="B80" s="4" t="inlineStr">
        <is>
          <t>Fraud &amp; APP reimbursement to customers</t>
        </is>
      </c>
      <c r="C80" s="4" t="inlineStr">
        <is>
          <t>S4 outflow (fraud resolution)</t>
        </is>
      </c>
      <c r="D80" s="10" t="inlineStr">
        <is>
          <t>✓</t>
        </is>
      </c>
    </row>
    <row r="81">
      <c r="B81" s="4" t="inlineStr">
        <is>
          <t>FSCS levy</t>
        </is>
      </c>
      <c r="C81" s="4" t="inlineStr">
        <is>
          <t>PartP1 — FSCS</t>
        </is>
      </c>
      <c r="D81" s="10" t="inlineStr">
        <is>
          <t>✓</t>
        </is>
      </c>
    </row>
    <row r="82">
      <c r="B82" s="4" t="inlineStr">
        <is>
          <t>Tax (corporation tax + surcharge)</t>
        </is>
      </c>
      <c r="C82" s="4" t="inlineStr">
        <is>
          <t>PartP1 — HMRC</t>
        </is>
      </c>
      <c r="D82" s="10" t="inlineStr">
        <is>
          <t>✓</t>
        </is>
      </c>
    </row>
    <row r="83">
      <c r="B83" s="4" t="inlineStr">
        <is>
          <t>Dividends / required return on equity</t>
        </is>
      </c>
      <c r="C83" s="4" t="inlineStr">
        <is>
          <t>PartP2 — Shareholders</t>
        </is>
      </c>
      <c r="D83" s="10" t="inlineStr">
        <is>
          <t>✓ (added)</t>
        </is>
      </c>
    </row>
    <row r="84">
      <c r="B84" s="4" t="inlineStr">
        <is>
          <t>Expected credit losses</t>
        </is>
      </c>
      <c r="C84" s="4" t="inlineStr">
        <is>
          <t>non-cash provision; cash leaves at drawdown (LN-PP1), partial return via recoveries (in LN-WP workout)</t>
        </is>
      </c>
      <c r="D84" s="10" t="inlineStr">
        <is>
          <t>note</t>
        </is>
      </c>
    </row>
    <row r="86">
      <c r="B86" s="7" t="inlineStr">
        <is>
          <t>MODULE ↔ FIN-SIM BRIDGE — live roll-up of each product module's economics (pulls from tabs 2 &amp; 6)</t>
        </is>
      </c>
      <c r="C86" s="8" t="inlineStr"/>
      <c r="D86" s="8" t="inlineStr"/>
      <c r="E86" s="8" t="inlineStr"/>
      <c r="F86" s="8" t="inlineStr"/>
      <c r="G86" s="8" t="inlineStr"/>
      <c r="H86" s="8" t="inlineStr"/>
      <c r="I86" s="8" t="inlineStr"/>
      <c r="J86" s="8" t="inlineStr"/>
      <c r="K86" s="8" t="inlineStr"/>
    </row>
    <row r="87">
      <c r="B87" s="45" t="inlineStr">
        <is>
          <t>Module</t>
        </is>
      </c>
      <c r="C87" s="45" t="inlineStr">
        <is>
          <t>Product</t>
        </is>
      </c>
      <c r="D87" s="45" t="inlineStr">
        <is>
          <t>Fin-sim keys (tabs 2–6)</t>
        </is>
      </c>
      <c r="E87" s="45" t="inlineStr">
        <is>
          <t>Revenue (£/yr)</t>
        </is>
      </c>
      <c r="F87" s="45" t="inlineStr">
        <is>
          <t>Contribution (£/yr)</t>
        </is>
      </c>
      <c r="G87" s="45" t="inlineStr">
        <is>
          <t>Economic contribution (£/yr)</t>
        </is>
      </c>
    </row>
    <row r="88">
      <c r="B88" s="42" t="inlineStr">
        <is>
          <t>CA</t>
        </is>
      </c>
      <c r="C88" s="10" t="inlineStr">
        <is>
          <t>Current account</t>
        </is>
      </c>
      <c r="D88" s="62" t="inlineStr">
        <is>
          <t>bca</t>
        </is>
      </c>
      <c r="E88" s="46">
        <f>'2. Revenues'!$M$5</f>
        <v/>
      </c>
      <c r="F88" s="46">
        <f>'6. Unit Economics'!C24</f>
        <v/>
      </c>
      <c r="G88" s="46">
        <f>'6. Unit Economics'!C25</f>
        <v/>
      </c>
    </row>
    <row r="89">
      <c r="B89" s="42" t="inlineStr">
        <is>
          <t>SV</t>
        </is>
      </c>
      <c r="C89" s="10" t="inlineStr">
        <is>
          <t>Savings &amp; deposits</t>
        </is>
      </c>
      <c r="D89" s="62" t="inlineStr">
        <is>
          <t>sav + dep</t>
        </is>
      </c>
      <c r="E89" s="46">
        <f>'2. Revenues'!$M$6+'2. Revenues'!$M$7</f>
        <v/>
      </c>
      <c r="F89" s="46">
        <f>'6. Unit Economics'!D24+'6. Unit Economics'!E24</f>
        <v/>
      </c>
      <c r="G89" s="46">
        <f>'6. Unit Economics'!D25+'6. Unit Economics'!E25</f>
        <v/>
      </c>
    </row>
    <row r="90">
      <c r="B90" s="42" t="inlineStr">
        <is>
          <t>LN</t>
        </is>
      </c>
      <c r="C90" s="10" t="inlineStr">
        <is>
          <t>Lending &amp; credit</t>
        </is>
      </c>
      <c r="D90" s="62" t="inlineStr">
        <is>
          <t>od + loan + af + inv</t>
        </is>
      </c>
      <c r="E90" s="46">
        <f>'2. Revenues'!$M$8+'2. Revenues'!$M$9+'2. Revenues'!$M$10+'2. Revenues'!$M$11</f>
        <v/>
      </c>
      <c r="F90" s="46">
        <f>'6. Unit Economics'!F24+'6. Unit Economics'!G24+'6. Unit Economics'!H24+'6. Unit Economics'!I24</f>
        <v/>
      </c>
      <c r="G90" s="46">
        <f>'6. Unit Economics'!F25+'6. Unit Economics'!G25+'6. Unit Economics'!H25+'6. Unit Economics'!I25</f>
        <v/>
      </c>
    </row>
    <row r="91">
      <c r="B91" s="42" t="inlineStr">
        <is>
          <t>CC</t>
        </is>
      </c>
      <c r="C91" s="10" t="inlineStr">
        <is>
          <t>Business credit card</t>
        </is>
      </c>
      <c r="D91" s="62" t="inlineStr">
        <is>
          <t>card</t>
        </is>
      </c>
      <c r="E91" s="46">
        <f>'2. Revenues'!$M$12</f>
        <v/>
      </c>
      <c r="F91" s="46">
        <f>'6. Unit Economics'!J24</f>
        <v/>
      </c>
      <c r="G91" s="46">
        <f>'6. Unit Economics'!J25</f>
        <v/>
      </c>
    </row>
    <row r="92">
      <c r="B92" s="42" t="inlineStr">
        <is>
          <t>PX</t>
        </is>
      </c>
      <c r="C92" s="10" t="inlineStr">
        <is>
          <t>Payments &amp; FX</t>
        </is>
      </c>
      <c r="D92" s="62" t="inlineStr">
        <is>
          <t>fx</t>
        </is>
      </c>
      <c r="E92" s="46">
        <f>'2. Revenues'!$M$13</f>
        <v/>
      </c>
      <c r="F92" s="46">
        <f>'6. Unit Economics'!K24</f>
        <v/>
      </c>
      <c r="G92" s="46">
        <f>'6. Unit Economics'!K25</f>
        <v/>
      </c>
    </row>
    <row r="93">
      <c r="B93" s="60" t="inlineStr">
        <is>
          <t>TOTAL</t>
        </is>
      </c>
      <c r="E93" s="47">
        <f>SUM(E88:E92)</f>
        <v/>
      </c>
      <c r="F93" s="47">
        <f>SUM(F88:F92)</f>
        <v/>
      </c>
      <c r="G93" s="47">
        <f>SUM(G88:G92)</f>
        <v/>
      </c>
    </row>
    <row r="94">
      <c r="B94" s="5" t="inlineStr">
        <is>
          <t>The traceability chain: CTM state change → module WP (this tab) → activities tagged with the flow ID (tab 3, 'Flow' column) → FTEs &amp; costs (tabs 3–4) → per-product economics (tab 6) → module roll-up above. One ID system end to end.</t>
        </is>
      </c>
    </row>
    <row r="96">
      <c r="B96" s="7" t="inlineStr">
        <is>
          <t>BIAN COMPLETENESS CHECKLIST — cross-cutting capabilities that move the flows</t>
        </is>
      </c>
      <c r="C96" s="8" t="inlineStr"/>
      <c r="D96" s="8" t="inlineStr"/>
      <c r="E96" s="8" t="inlineStr"/>
      <c r="F96" s="8" t="inlineStr"/>
      <c r="G96" s="8" t="inlineStr"/>
      <c r="H96" s="8" t="inlineStr"/>
      <c r="I96" s="8" t="inlineStr"/>
      <c r="J96" s="8" t="inlineStr"/>
      <c r="K96" s="8" t="inlineStr"/>
    </row>
    <row r="97">
      <c r="B97" s="9" t="inlineStr">
        <is>
          <t>Capability</t>
        </is>
      </c>
      <c r="C97" s="9" t="inlineStr">
        <is>
          <t>BIAN business area</t>
        </is>
      </c>
      <c r="D97" s="9" t="inlineStr">
        <is>
          <t>4-D classification</t>
        </is>
      </c>
      <c r="E97" s="9" t="inlineStr">
        <is>
          <t>Captured where</t>
        </is>
      </c>
      <c r="F97" s="9" t="inlineStr">
        <is>
          <t>Status</t>
        </is>
      </c>
    </row>
    <row r="98">
      <c r="B98" s="4" t="inlineStr">
        <is>
          <t>Party reference data</t>
        </is>
      </c>
      <c r="C98" s="10" t="inlineStr">
        <is>
          <t>Reference Data</t>
        </is>
      </c>
      <c r="D98" s="10" t="inlineStr">
        <is>
          <t>Back-office activity</t>
        </is>
      </c>
      <c r="E98" s="10" t="inlineStr">
        <is>
          <t>HQ capability + CA-WP</t>
        </is>
      </c>
      <c r="F98" s="10" t="inlineStr">
        <is>
          <t>Captured</t>
        </is>
      </c>
    </row>
    <row r="99">
      <c r="B99" s="4" t="inlineStr">
        <is>
          <t>Product directory &amp; pricing</t>
        </is>
      </c>
      <c r="C99" s="10" t="inlineStr">
        <is>
          <t>Reference Data</t>
        </is>
      </c>
      <c r="D99" s="10" t="inlineStr">
        <is>
          <t>Back-office activity</t>
        </is>
      </c>
      <c r="E99" s="10" t="inlineStr">
        <is>
          <t>HQ capability</t>
        </is>
      </c>
      <c r="F99" s="10" t="inlineStr">
        <is>
          <t>Captured</t>
        </is>
      </c>
    </row>
    <row r="100">
      <c r="B100" s="4" t="inlineStr">
        <is>
          <t>Customer access entitlement / authentication</t>
        </is>
      </c>
      <c r="C100" s="10" t="inlineStr">
        <is>
          <t>Sales &amp; Service</t>
        </is>
      </c>
      <c r="D100" s="10" t="inlineStr">
        <is>
          <t>Enabling product</t>
        </is>
      </c>
      <c r="E100" s="10" t="inlineStr">
        <is>
          <t>E4</t>
        </is>
      </c>
      <c r="F100" s="10" t="inlineStr">
        <is>
          <t>Captured (new)</t>
        </is>
      </c>
    </row>
    <row r="101">
      <c r="B101" s="4" t="inlineStr">
        <is>
          <t>Financial message gateway (Open Banking / API)</t>
        </is>
      </c>
      <c r="C101" s="10" t="inlineStr">
        <is>
          <t>Operations &amp; Execution</t>
        </is>
      </c>
      <c r="D101" s="10" t="inlineStr">
        <is>
          <t>Enabling product</t>
        </is>
      </c>
      <c r="E101" s="10" t="inlineStr">
        <is>
          <t>E3</t>
        </is>
      </c>
      <c r="F101" s="10" t="inlineStr">
        <is>
          <t>Captured (new)</t>
        </is>
      </c>
    </row>
    <row r="102">
      <c r="B102" s="4" t="inlineStr">
        <is>
          <t>Reconciliation</t>
        </is>
      </c>
      <c r="C102" s="10" t="inlineStr">
        <is>
          <t>Operations &amp; Execution</t>
        </is>
      </c>
      <c r="D102" s="10" t="inlineStr">
        <is>
          <t>Money-flow capability</t>
        </is>
      </c>
      <c r="E102" s="10" t="inlineStr">
        <is>
          <t>*-PP flows + HQ</t>
        </is>
      </c>
      <c r="F102" s="10" t="inlineStr">
        <is>
          <t>Captured</t>
        </is>
      </c>
    </row>
    <row r="103">
      <c r="B103" s="4" t="inlineStr">
        <is>
          <t>Position keeping (nostro / vostro)</t>
        </is>
      </c>
      <c r="C103" s="10" t="inlineStr">
        <is>
          <t>Operations &amp; Execution</t>
        </is>
      </c>
      <c r="D103" s="10" t="inlineStr">
        <is>
          <t>Money-flow capability</t>
        </is>
      </c>
      <c r="E103" s="10" t="inlineStr">
        <is>
          <t>SV/LN PP flows + HQ</t>
        </is>
      </c>
      <c r="F103" s="10" t="inlineStr">
        <is>
          <t>Captured</t>
        </is>
      </c>
    </row>
    <row r="104">
      <c r="B104" s="4" t="inlineStr">
        <is>
          <t>Regulatory compliance &amp; reporting</t>
        </is>
      </c>
      <c r="C104" s="10" t="inlineStr">
        <is>
          <t>Risk &amp; Compliance</t>
        </is>
      </c>
      <c r="D104" s="10" t="inlineStr">
        <is>
          <t>Back-office activity</t>
        </is>
      </c>
      <c r="E104" s="10" t="inlineStr">
        <is>
          <t>HQ + FSCS rail</t>
        </is>
      </c>
      <c r="F104" s="10" t="inlineStr">
        <is>
          <t>Captured</t>
        </is>
      </c>
    </row>
    <row r="105">
      <c r="B105" s="4" t="inlineStr">
        <is>
          <t>Sanctions screening / CDD</t>
        </is>
      </c>
      <c r="C105" s="10" t="inlineStr">
        <is>
          <t>Risk &amp; Compliance</t>
        </is>
      </c>
      <c r="D105" s="10" t="inlineStr">
        <is>
          <t>Back-office activity</t>
        </is>
      </c>
      <c r="E105" s="10" t="inlineStr">
        <is>
          <t>HQ (within fraud/AML)</t>
        </is>
      </c>
      <c r="F105" s="10" t="inlineStr">
        <is>
          <t>Captured</t>
        </is>
      </c>
    </row>
    <row r="106">
      <c r="B106" s="4" t="inlineStr">
        <is>
          <t>Collections &amp; recovery</t>
        </is>
      </c>
      <c r="C106" s="10" t="inlineStr">
        <is>
          <t>Operations &amp; Execution</t>
        </is>
      </c>
      <c r="D106" s="10" t="inlineStr">
        <is>
          <t>Back-office activity</t>
        </is>
      </c>
      <c r="E106" s="10" t="inlineStr">
        <is>
          <t>HQ + LN-WP</t>
        </is>
      </c>
      <c r="F106" s="10" t="inlineStr">
        <is>
          <t>Captured</t>
        </is>
      </c>
    </row>
    <row r="107">
      <c r="B107" s="4" t="inlineStr">
        <is>
          <t>Collateral administration</t>
        </is>
      </c>
      <c r="C107" s="10" t="inlineStr">
        <is>
          <t>Operations &amp; Execution</t>
        </is>
      </c>
      <c r="D107" s="10" t="inlineStr">
        <is>
          <t>Back-office activity</t>
        </is>
      </c>
      <c r="E107" s="10" t="inlineStr">
        <is>
          <t>HQ + LN-WP</t>
        </is>
      </c>
      <c r="F107" s="10" t="inlineStr">
        <is>
          <t>Captured</t>
        </is>
      </c>
    </row>
    <row r="108">
      <c r="B108" s="4" t="inlineStr">
        <is>
          <t>Fraud resolution</t>
        </is>
      </c>
      <c r="C108" s="10" t="inlineStr">
        <is>
          <t>Operations &amp; Execution</t>
        </is>
      </c>
      <c r="D108" s="10" t="inlineStr">
        <is>
          <t>Support product</t>
        </is>
      </c>
      <c r="E108" s="10" t="inlineStr">
        <is>
          <t>S4</t>
        </is>
      </c>
      <c r="F108" s="10" t="inlineStr">
        <is>
          <t>Captured</t>
        </is>
      </c>
    </row>
    <row r="109">
      <c r="B109" s="4" t="inlineStr">
        <is>
          <t>Correspondence / notifications</t>
        </is>
      </c>
      <c r="C109" s="10" t="inlineStr">
        <is>
          <t>Sales &amp; Service</t>
        </is>
      </c>
      <c r="D109" s="10" t="inlineStr">
        <is>
          <t>Support product</t>
        </is>
      </c>
      <c r="E109" s="10" t="inlineStr">
        <is>
          <t>S1–S2</t>
        </is>
      </c>
      <c r="F109" s="10" t="inlineStr">
        <is>
          <t>Captured</t>
        </is>
      </c>
    </row>
    <row r="110">
      <c r="B110" s="4" t="inlineStr">
        <is>
          <t>Document &amp; contract management</t>
        </is>
      </c>
      <c r="C110" s="10" t="inlineStr">
        <is>
          <t>Business Support</t>
        </is>
      </c>
      <c r="D110" s="10" t="inlineStr">
        <is>
          <t>Enabling product</t>
        </is>
      </c>
      <c r="E110" s="10" t="inlineStr">
        <is>
          <t>E5</t>
        </is>
      </c>
      <c r="F110" s="10" t="inlineStr">
        <is>
          <t>Captured</t>
        </is>
      </c>
    </row>
    <row r="111">
      <c r="B111" s="4" t="inlineStr">
        <is>
          <t>Card scheme &amp; merchant relations</t>
        </is>
      </c>
      <c r="C111" s="10" t="inlineStr">
        <is>
          <t>Operations &amp; Execution</t>
        </is>
      </c>
      <c r="D111" s="10" t="inlineStr">
        <is>
          <t>Back-office activity</t>
        </is>
      </c>
      <c r="E111" s="10" t="inlineStr">
        <is>
          <t>CC module</t>
        </is>
      </c>
      <c r="F111" s="10" t="inlineStr">
        <is>
          <t>Captured</t>
        </is>
      </c>
    </row>
    <row r="112">
      <c r="B112" s="4" t="inlineStr">
        <is>
          <t>Corporate treasury / ALM</t>
        </is>
      </c>
      <c r="C112" s="10" t="inlineStr">
        <is>
          <t>Risk &amp; Compliance</t>
        </is>
      </c>
      <c r="D112" s="10" t="inlineStr">
        <is>
          <t>Money-flow capability</t>
        </is>
      </c>
      <c r="E112" s="10" t="inlineStr">
        <is>
          <t>HQ + PP flows + PartP1</t>
        </is>
      </c>
      <c r="F112" s="10" t="inlineStr">
        <is>
          <t>Captured</t>
        </is>
      </c>
    </row>
    <row r="113">
      <c r="B113" s="4" t="inlineStr">
        <is>
          <t>Operational risk</t>
        </is>
      </c>
      <c r="C113" s="10" t="inlineStr">
        <is>
          <t>Risk &amp; Compliance</t>
        </is>
      </c>
      <c r="D113" s="10" t="inlineStr">
        <is>
          <t>Back-office activity</t>
        </is>
      </c>
      <c r="E113" s="10" t="inlineStr">
        <is>
          <t>HQ capability</t>
        </is>
      </c>
      <c r="F113" s="10" t="inlineStr">
        <is>
          <t>Captured</t>
        </is>
      </c>
    </row>
    <row r="114">
      <c r="B114" s="4" t="inlineStr">
        <is>
          <t>Finance / general ledger</t>
        </is>
      </c>
      <c r="C114" s="10" t="inlineStr">
        <is>
          <t>Business Support</t>
        </is>
      </c>
      <c r="D114" s="10" t="inlineStr">
        <is>
          <t>Money-flow capability</t>
        </is>
      </c>
      <c r="E114" s="10" t="inlineStr">
        <is>
          <t>HQ capability</t>
        </is>
      </c>
      <c r="F114" s="10" t="inlineStr">
        <is>
          <t>Captured</t>
        </is>
      </c>
    </row>
    <row r="116">
      <c r="B116" s="5" t="inlineStr">
        <is>
          <t>Out of scope by design (BIAN domains not built): wholesale markets · trading · wealth / investment management · trade finance · corporate finance / capital markets · retail-only consumer products. Treasury kept minimal — liquidity / ALM + correspondent banking only.</t>
        </is>
      </c>
    </row>
    <row r="117"/>
    <row r="119">
      <c r="B119" s="62" t="inlineStr">
        <is>
          <t>Source: BIAN Service Landscape v9.1 (bian.org). Confirm any service-domain name against the v9.1 matrix before external use — BIAN renames domains between versions.</t>
        </is>
      </c>
    </row>
  </sheetData>
  <mergeCells count="3">
    <mergeCell ref="B94:K94"/>
    <mergeCell ref="B72:K72"/>
    <mergeCell ref="B116:K11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H91"/>
  <sheetViews>
    <sheetView workbookViewId="0">
      <pane ySplit="3" topLeftCell="A4" activePane="bottomLeft" state="frozen"/>
      <selection pane="bottomLeft" activeCell="A1" sqref="A1"/>
    </sheetView>
  </sheetViews>
  <sheetFormatPr baseColWidth="8" defaultRowHeight="15"/>
  <cols>
    <col width="2" customWidth="1" min="1" max="1"/>
    <col width="56" customWidth="1" min="2" max="2"/>
    <col width="15" customWidth="1" min="3" max="3"/>
    <col width="10" customWidth="1" min="4" max="4"/>
    <col width="11" customWidth="1" min="5" max="5"/>
    <col width="11" customWidth="1" min="6" max="6"/>
    <col width="11" customWidth="1" min="7" max="7"/>
    <col width="11" customWidth="1" min="8" max="8"/>
  </cols>
  <sheetData>
    <row r="1">
      <c r="B1" s="1" t="inlineStr">
        <is>
          <t>ELASTICITIES — WHAT DRIVES PERFORMANCE, AND BY HOW MUCH</t>
        </is>
      </c>
    </row>
    <row r="2" ht="30" customHeight="1">
      <c r="B2" s="5" t="inlineStr">
        <is>
          <t>Each input was bumped by +1% and the whole workbook recalculated. The figures below are the resulting % change in each output. An elasticity of +1.25 means a 1% rise in that input raises profit before tax by 1.25%. These are the workbook's own formulas, recalculated — not a separate estimate.</t>
        </is>
      </c>
    </row>
    <row r="3" ht="30" customHeight="1">
      <c r="B3" s="5" t="inlineStr">
        <is>
          <t>STATIC BY DESIGN: computed against the central scenario at build time. Change an input materially and they move. Recompute with elasticity.py. Elasticities are local — they describe the slope at this operating point, not the whole surface, and they say nothing about what is actually movable.</t>
        </is>
      </c>
    </row>
    <row r="5">
      <c r="B5" s="42" t="inlineStr">
        <is>
          <t>Computed at: PBT £4,552,743 · cost:income 45.7% · RoE 21.8%</t>
        </is>
      </c>
    </row>
    <row r="7">
      <c r="B7" s="45" t="inlineStr">
        <is>
          <t>Input</t>
        </is>
      </c>
      <c r="C7" s="45" t="inlineStr">
        <is>
          <t>Value</t>
        </is>
      </c>
      <c r="D7" s="45" t="inlineStr">
        <is>
          <t>Unit</t>
        </is>
      </c>
      <c r="E7" s="45" t="inlineStr">
        <is>
          <t>e(PBT)</t>
        </is>
      </c>
      <c r="F7" s="45" t="inlineStr">
        <is>
          <t>e(Cost:income)</t>
        </is>
      </c>
      <c r="G7" s="45" t="inlineStr">
        <is>
          <t>e(RoE)</t>
        </is>
      </c>
      <c r="H7" s="45" t="inlineStr">
        <is>
          <t>e(Income)</t>
        </is>
      </c>
    </row>
    <row r="8">
      <c r="B8" s="10" t="inlineStr">
        <is>
          <t>Term loans — customer rate</t>
        </is>
      </c>
      <c r="C8" s="63" t="n">
        <v>0.0625</v>
      </c>
      <c r="D8" s="14" t="inlineStr">
        <is>
          <t>% p.a.</t>
        </is>
      </c>
      <c r="E8" s="71" t="n">
        <v>1.247681048892727</v>
      </c>
      <c r="F8" s="71" t="n">
        <v>-0.5920579472668667</v>
      </c>
      <c r="G8" s="71" t="n">
        <v>1.148369761396499</v>
      </c>
      <c r="H8" s="71" t="n">
        <v>0.5955841505629065</v>
      </c>
    </row>
    <row r="9">
      <c r="B9" s="10" t="inlineStr">
        <is>
          <t>Reachable SMEs in region (R)</t>
        </is>
      </c>
      <c r="C9" s="63" t="n">
        <v>18750</v>
      </c>
      <c r="D9" s="14" t="inlineStr">
        <is>
          <t>businesses</t>
        </is>
      </c>
      <c r="E9" s="71" t="n">
        <v>1.00000000000003</v>
      </c>
      <c r="F9" s="71" t="n">
        <v>0</v>
      </c>
      <c r="G9" s="71" t="n">
        <v>0</v>
      </c>
      <c r="H9" s="71" t="n">
        <v>1.00000000000002</v>
      </c>
    </row>
    <row r="10">
      <c r="B10" s="10" t="inlineStr">
        <is>
          <t>Steady-state penetration (P)</t>
        </is>
      </c>
      <c r="C10" s="63" t="n">
        <v>0.16</v>
      </c>
      <c r="D10" s="14" t="inlineStr">
        <is>
          <t>% of reachable</t>
        </is>
      </c>
      <c r="E10" s="71" t="n">
        <v>1.00000000000003</v>
      </c>
      <c r="F10" s="71" t="n">
        <v>0</v>
      </c>
      <c r="G10" s="71" t="n">
        <v>0</v>
      </c>
      <c r="H10" s="71" t="n">
        <v>1.00000000000002</v>
      </c>
    </row>
    <row r="11">
      <c r="B11" s="10" t="inlineStr">
        <is>
          <t>Business current account — penetration</t>
        </is>
      </c>
      <c r="C11" s="63" t="n">
        <v>1</v>
      </c>
      <c r="D11" s="14" t="inlineStr">
        <is>
          <t>% of customers</t>
        </is>
      </c>
      <c r="E11" s="71" t="n">
        <v>0.5316502207558557</v>
      </c>
      <c r="F11" s="71" t="n">
        <v>-0.2263724971407025</v>
      </c>
      <c r="G11" s="71" t="n">
        <v>0.4858715994436417</v>
      </c>
      <c r="H11" s="71" t="n">
        <v>0.2763510458611886</v>
      </c>
    </row>
    <row r="12">
      <c r="B12" s="10" t="inlineStr">
        <is>
          <t>Term loans — average balance</t>
        </is>
      </c>
      <c r="C12" s="63" t="n">
        <v>250000</v>
      </c>
      <c r="D12" s="14" t="inlineStr">
        <is>
          <t>£/loan</t>
        </is>
      </c>
      <c r="E12" s="71" t="n">
        <v>0.4485219355690576</v>
      </c>
      <c r="F12" s="71" t="n">
        <v>-0.2508408142510311</v>
      </c>
      <c r="G12" s="71" t="n">
        <v>-0.172627245775743</v>
      </c>
      <c r="H12" s="71" t="n">
        <v>0.2514716076793886</v>
      </c>
    </row>
    <row r="13">
      <c r="B13" s="10" t="inlineStr">
        <is>
          <t>BCA — average credit balance</t>
        </is>
      </c>
      <c r="C13" s="63" t="n">
        <v>18000</v>
      </c>
      <c r="D13" s="14" t="inlineStr">
        <is>
          <t>£/account</t>
        </is>
      </c>
      <c r="E13" s="71" t="n">
        <v>0.4269286171458919</v>
      </c>
      <c r="F13" s="71" t="n">
        <v>-0.2009624805300439</v>
      </c>
      <c r="G13" s="71" t="n">
        <v>0.3928629971036865</v>
      </c>
      <c r="H13" s="71" t="n">
        <v>0.2058338824345483</v>
      </c>
    </row>
    <row r="14">
      <c r="B14" s="10" t="inlineStr">
        <is>
          <t>Term loans / commercial mortgages — penetration</t>
        </is>
      </c>
      <c r="C14" s="63" t="n">
        <v>0.12</v>
      </c>
      <c r="D14" s="14" t="inlineStr">
        <is>
          <t>%</t>
        </is>
      </c>
      <c r="E14" s="71" t="n">
        <v>0.4168087496628946</v>
      </c>
      <c r="F14" s="71" t="n">
        <v>-0.2178158778235073</v>
      </c>
      <c r="G14" s="71" t="n">
        <v>-0.2041443250685729</v>
      </c>
      <c r="H14" s="71" t="n">
        <v>0.2514716076793886</v>
      </c>
    </row>
    <row r="15">
      <c r="B15" s="10" t="inlineStr">
        <is>
          <t>Asset finance — customer yield</t>
        </is>
      </c>
      <c r="C15" s="63" t="n">
        <v>0.08500000000000001</v>
      </c>
      <c r="D15" s="14" t="inlineStr">
        <is>
          <t>% p.a.</t>
        </is>
      </c>
      <c r="E15" s="71" t="n">
        <v>0.3619938616520847</v>
      </c>
      <c r="F15" s="71" t="n">
        <v>-0.1725007356564119</v>
      </c>
      <c r="G15" s="71" t="n">
        <v>0.3334124986436103</v>
      </c>
      <c r="H15" s="71" t="n">
        <v>0.1727988148833219</v>
      </c>
    </row>
    <row r="16">
      <c r="B16" s="10" t="inlineStr">
        <is>
          <t>Invoice finance — average funds in use (advances)</t>
        </is>
      </c>
      <c r="C16" s="63" t="n">
        <v>150000</v>
      </c>
      <c r="D16" s="14" t="inlineStr">
        <is>
          <t>£/client</t>
        </is>
      </c>
      <c r="E16" s="71" t="n">
        <v>0.3101871844046677</v>
      </c>
      <c r="F16" s="71" t="n">
        <v>-0.1543074556452041</v>
      </c>
      <c r="G16" s="71" t="n">
        <v>0.209829595204097</v>
      </c>
      <c r="H16" s="71" t="n">
        <v>0.1545459315400012</v>
      </c>
    </row>
    <row r="17">
      <c r="B17" s="10" t="inlineStr">
        <is>
          <t>Notice &amp; fixed deposits — rate paid</t>
        </is>
      </c>
      <c r="C17" s="63" t="n">
        <v>0.041</v>
      </c>
      <c r="D17" s="14" t="inlineStr">
        <is>
          <t>% p.a.</t>
        </is>
      </c>
      <c r="E17" s="71" t="n">
        <v>-0.3069295380274881</v>
      </c>
      <c r="F17" s="71" t="n">
        <v>0.1467286786560457</v>
      </c>
      <c r="G17" s="71" t="n">
        <v>-0.2828446455047969</v>
      </c>
      <c r="H17" s="71" t="n">
        <v>-0.1465137010384164</v>
      </c>
    </row>
    <row r="18">
      <c r="B18" s="10" t="inlineStr">
        <is>
          <t>Invoice finance — penetration</t>
        </is>
      </c>
      <c r="C18" s="63" t="n">
        <v>0.03</v>
      </c>
      <c r="D18" s="14" t="inlineStr">
        <is>
          <t>%</t>
        </is>
      </c>
      <c r="E18" s="71" t="n">
        <v>0.2968754767403625</v>
      </c>
      <c r="F18" s="71" t="n">
        <v>-0.1404317212375283</v>
      </c>
      <c r="G18" s="71" t="n">
        <v>0.1965312055379295</v>
      </c>
      <c r="H18" s="71" t="n">
        <v>0.1545459315400012</v>
      </c>
    </row>
    <row r="19">
      <c r="B19" s="10" t="inlineStr">
        <is>
          <t>Head office: technology &amp; central operations</t>
        </is>
      </c>
      <c r="C19" s="63" t="n">
        <v>450</v>
      </c>
      <c r="D19" s="14" t="inlineStr">
        <is>
          <t>£/customer/yr</t>
        </is>
      </c>
      <c r="E19" s="71" t="n">
        <v>-0.2965245383102628</v>
      </c>
      <c r="F19" s="71" t="n">
        <v>0.3095661825398512</v>
      </c>
      <c r="G19" s="71" t="n">
        <v>-0.2965245383105712</v>
      </c>
      <c r="H19" s="71" t="n">
        <v>0</v>
      </c>
    </row>
    <row r="20">
      <c r="B20" s="10" t="inlineStr">
        <is>
          <t>Instant-access savings — rate paid</t>
        </is>
      </c>
      <c r="C20" s="63" t="n">
        <v>0.033</v>
      </c>
      <c r="D20" s="14" t="inlineStr">
        <is>
          <t>% p.a.</t>
        </is>
      </c>
      <c r="E20" s="71" t="n">
        <v>-0.2635102375261357</v>
      </c>
      <c r="F20" s="71" t="n">
        <v>0.1259457965071908</v>
      </c>
      <c r="G20" s="71" t="n">
        <v>-0.2428241773307234</v>
      </c>
      <c r="H20" s="71" t="n">
        <v>-0.125787372598882</v>
      </c>
    </row>
    <row r="21">
      <c r="B21" s="10" t="inlineStr">
        <is>
          <t>Invoice finance — funded invoices as multiple of advances</t>
        </is>
      </c>
      <c r="C21" s="63" t="n">
        <v>8</v>
      </c>
      <c r="D21" s="14" t="inlineStr">
        <is>
          <t>x p.a.</t>
        </is>
      </c>
      <c r="E21" s="71" t="n">
        <v>0.2395547613874036</v>
      </c>
      <c r="F21" s="71" t="n">
        <v>-0.1142215421111091</v>
      </c>
      <c r="G21" s="71" t="n">
        <v>0.2206618790426836</v>
      </c>
      <c r="H21" s="71" t="n">
        <v>0.1143521569080781</v>
      </c>
    </row>
    <row r="22">
      <c r="B22" s="10" t="inlineStr">
        <is>
          <t>Invoice finance — service fee</t>
        </is>
      </c>
      <c r="C22" s="63" t="n">
        <v>0.01</v>
      </c>
      <c r="D22" s="14" t="inlineStr">
        <is>
          <t>% of funded invoices</t>
        </is>
      </c>
      <c r="E22" s="71" t="n">
        <v>0.2395547613874036</v>
      </c>
      <c r="F22" s="71" t="n">
        <v>-0.1142215421111091</v>
      </c>
      <c r="G22" s="71" t="n">
        <v>0.2206618790426836</v>
      </c>
      <c r="H22" s="71" t="n">
        <v>0.1143521569080781</v>
      </c>
    </row>
    <row r="23">
      <c r="B23" s="10" t="inlineStr">
        <is>
          <t>Bank of England Bank Rate</t>
        </is>
      </c>
      <c r="C23" s="63" t="n">
        <v>0.0375</v>
      </c>
      <c r="D23" s="14" t="inlineStr">
        <is>
          <t>% p.a.</t>
        </is>
      </c>
      <c r="E23" s="71" t="n">
        <v>0.1990512830997236</v>
      </c>
      <c r="F23" s="71" t="n">
        <v>-0.09492750668173035</v>
      </c>
      <c r="G23" s="71" t="n">
        <v>0.1931242862657616</v>
      </c>
      <c r="H23" s="71" t="n">
        <v>0.09501770461968793</v>
      </c>
    </row>
    <row r="24">
      <c r="B24" s="10" t="inlineStr">
        <is>
          <t>International payments &amp; FX — penetration</t>
        </is>
      </c>
      <c r="C24" s="63" t="n">
        <v>0.2</v>
      </c>
      <c r="D24" s="14" t="inlineStr">
        <is>
          <t>%</t>
        </is>
      </c>
      <c r="E24" s="71" t="n">
        <v>0.1687945307331029</v>
      </c>
      <c r="F24" s="71" t="n">
        <v>-0.08000540090128463</v>
      </c>
      <c r="G24" s="71" t="n">
        <v>0.1554207840445721</v>
      </c>
      <c r="H24" s="71" t="n">
        <v>0.08099944447655529</v>
      </c>
    </row>
    <row r="25">
      <c r="B25" s="10" t="inlineStr">
        <is>
          <t>Asset finance — average balance</t>
        </is>
      </c>
      <c r="C25" s="63" t="n">
        <v>80000</v>
      </c>
      <c r="D25" s="14" t="inlineStr">
        <is>
          <t>£/agreement</t>
        </is>
      </c>
      <c r="E25" s="71" t="n">
        <v>0.1658745747382735</v>
      </c>
      <c r="F25" s="71" t="n">
        <v>-0.09273546655296665</v>
      </c>
      <c r="G25" s="71" t="n">
        <v>0.008961968797843937</v>
      </c>
      <c r="H25" s="71" t="n">
        <v>0.09282154504571802</v>
      </c>
    </row>
    <row r="26">
      <c r="B26" s="10" t="inlineStr">
        <is>
          <t>Head office: risk, compliance, financial crime, audit</t>
        </is>
      </c>
      <c r="C26" s="63" t="n">
        <v>250</v>
      </c>
      <c r="D26" s="14" t="inlineStr">
        <is>
          <t>£/customer/yr</t>
        </is>
      </c>
      <c r="E26" s="71" t="n">
        <v>-0.1647358546168127</v>
      </c>
      <c r="F26" s="71" t="n">
        <v>0.1719812125220667</v>
      </c>
      <c r="G26" s="71" t="n">
        <v>-0.1647358546170901</v>
      </c>
      <c r="H26" s="71" t="n">
        <v>0</v>
      </c>
    </row>
    <row r="27">
      <c r="B27" s="10" t="inlineStr">
        <is>
          <t>Asset finance — penetration</t>
        </is>
      </c>
      <c r="C27" s="63" t="n">
        <v>0.08</v>
      </c>
      <c r="D27" s="14" t="inlineStr">
        <is>
          <t>%</t>
        </is>
      </c>
      <c r="E27" s="71" t="n">
        <v>0.1587153370028682</v>
      </c>
      <c r="F27" s="71" t="n">
        <v>-0.08526828474335443</v>
      </c>
      <c r="G27" s="71" t="n">
        <v>0.001813946205839392</v>
      </c>
      <c r="H27" s="71" t="n">
        <v>0.09282154504571802</v>
      </c>
    </row>
    <row r="28">
      <c r="B28" s="10" t="inlineStr">
        <is>
          <t>Head office: finance, HR, exec, brand &amp; residual (non-acquisition) marketing</t>
        </is>
      </c>
      <c r="C28" s="63" t="n">
        <v>222</v>
      </c>
      <c r="D28" s="14" t="inlineStr">
        <is>
          <t>£/customer/yr</t>
        </is>
      </c>
      <c r="E28" s="71" t="n">
        <v>-0.1462854388997297</v>
      </c>
      <c r="F28" s="71" t="n">
        <v>0.1527193167196385</v>
      </c>
      <c r="G28" s="71" t="n">
        <v>-0.1462854388999867</v>
      </c>
      <c r="H28" s="71" t="n">
        <v>0</v>
      </c>
    </row>
    <row r="29">
      <c r="B29" s="10" t="inlineStr">
        <is>
          <t>Equity held against RWAs (CET1 target)</t>
        </is>
      </c>
      <c r="C29" s="63" t="n">
        <v>0.14</v>
      </c>
      <c r="D29" s="14" t="inlineStr">
        <is>
          <t>% of RWA</t>
        </is>
      </c>
      <c r="E29" s="71" t="n">
        <v>0.1238711722148994</v>
      </c>
      <c r="F29" s="71" t="n">
        <v>-0.05909531843834973</v>
      </c>
      <c r="G29" s="71" t="n">
        <v>-0.8674542849359645</v>
      </c>
      <c r="H29" s="71" t="n">
        <v>0.05913026165485447</v>
      </c>
    </row>
    <row r="30">
      <c r="B30" s="10" t="inlineStr">
        <is>
          <t>Business credit card — penetration</t>
        </is>
      </c>
      <c r="C30" s="63" t="n">
        <v>0.3</v>
      </c>
      <c r="D30" s="14" t="inlineStr">
        <is>
          <t>%</t>
        </is>
      </c>
      <c r="E30" s="71" t="n">
        <v>0.115162001627308</v>
      </c>
      <c r="F30" s="71" t="n">
        <v>-0.05450341134971946</v>
      </c>
      <c r="G30" s="71" t="n">
        <v>0.1025383467743691</v>
      </c>
      <c r="H30" s="71" t="n">
        <v>0.05762391571351869</v>
      </c>
    </row>
    <row r="31">
      <c r="B31" s="10" t="inlineStr">
        <is>
          <t>Overdraft — interest rate (EAR)</t>
        </is>
      </c>
      <c r="C31" s="63" t="n">
        <v>0.0975</v>
      </c>
      <c r="D31" s="14" t="inlineStr">
        <is>
          <t>% p.a.</t>
        </is>
      </c>
      <c r="E31" s="71" t="n">
        <v>0.1094840120404391</v>
      </c>
      <c r="F31" s="71" t="n">
        <v>-0.05223520978052387</v>
      </c>
      <c r="G31" s="71" t="n">
        <v>0.1008596961142311</v>
      </c>
      <c r="H31" s="71" t="n">
        <v>0.05226250921193411</v>
      </c>
    </row>
    <row r="32">
      <c r="B32" s="10" t="inlineStr">
        <is>
          <t>Card — average monthly spend</t>
        </is>
      </c>
      <c r="C32" s="63" t="n">
        <v>2500</v>
      </c>
      <c r="D32" s="14" t="inlineStr">
        <is>
          <t>£/card/month</t>
        </is>
      </c>
      <c r="E32" s="71" t="n">
        <v>0.1018107735896629</v>
      </c>
      <c r="F32" s="71" t="n">
        <v>-0.04857605888322602</v>
      </c>
      <c r="G32" s="71" t="n">
        <v>0.09379146319211618</v>
      </c>
      <c r="H32" s="71" t="n">
        <v>0.04859966668594098</v>
      </c>
    </row>
    <row r="33">
      <c r="B33" s="10" t="inlineStr">
        <is>
          <t>Card — commercial interchange earned</t>
        </is>
      </c>
      <c r="C33" s="63" t="n">
        <v>0.017</v>
      </c>
      <c r="D33" s="14" t="inlineStr">
        <is>
          <t>% of spend</t>
        </is>
      </c>
      <c r="E33" s="71" t="n">
        <v>0.1018107735896629</v>
      </c>
      <c r="F33" s="71" t="n">
        <v>-0.04857605888322602</v>
      </c>
      <c r="G33" s="71" t="n">
        <v>0.09379146319211618</v>
      </c>
      <c r="H33" s="71" t="n">
        <v>0.04859966668594098</v>
      </c>
    </row>
    <row r="34">
      <c r="B34" s="10" t="inlineStr">
        <is>
          <t>Term funding premium over Bank Rate</t>
        </is>
      </c>
      <c r="C34" s="63" t="n">
        <v>0.006</v>
      </c>
      <c r="D34" s="14" t="inlineStr">
        <is>
          <t>% p.a.</t>
        </is>
      </c>
      <c r="E34" s="71" t="n">
        <v>-0.1004133708148834</v>
      </c>
      <c r="F34" s="71" t="n">
        <v>0.04795559880866109</v>
      </c>
      <c r="G34" s="71" t="n">
        <v>-0.09251885130815904</v>
      </c>
      <c r="H34" s="71" t="n">
        <v>-0.04793261243730116</v>
      </c>
    </row>
    <row r="35">
      <c r="B35" s="10" t="inlineStr">
        <is>
          <t>Behavioural term credit for stable non-maturing deposits</t>
        </is>
      </c>
      <c r="C35" s="63" t="n">
        <v>0.005</v>
      </c>
      <c r="D35" s="14" t="inlineStr">
        <is>
          <t>% p.a.</t>
        </is>
      </c>
      <c r="E35" s="71" t="n">
        <v>0.09981448391141816</v>
      </c>
      <c r="F35" s="71" t="n">
        <v>-0.04762404074601882</v>
      </c>
      <c r="G35" s="71" t="n">
        <v>0.09195255933441075</v>
      </c>
      <c r="H35" s="71" t="n">
        <v>0.04764673204503252</v>
      </c>
    </row>
    <row r="36">
      <c r="B36" s="10" t="inlineStr">
        <is>
          <t>FX — average annual conversion volume</t>
        </is>
      </c>
      <c r="C36" s="63" t="n">
        <v>100000</v>
      </c>
      <c r="D36" s="14" t="inlineStr">
        <is>
          <t>£/user/yr</t>
        </is>
      </c>
      <c r="E36" s="71" t="n">
        <v>0.09981448391141816</v>
      </c>
      <c r="F36" s="71" t="n">
        <v>-0.04762404074601882</v>
      </c>
      <c r="G36" s="71" t="n">
        <v>0.09195255933441075</v>
      </c>
      <c r="H36" s="71" t="n">
        <v>0.04764673204503252</v>
      </c>
    </row>
    <row r="37">
      <c r="B37" s="10" t="inlineStr">
        <is>
          <t>FX — margin on conversion volume</t>
        </is>
      </c>
      <c r="C37" s="63" t="n">
        <v>0.0075</v>
      </c>
      <c r="D37" s="14" t="inlineStr">
        <is>
          <t>% of volume</t>
        </is>
      </c>
      <c r="E37" s="71" t="n">
        <v>0.09981448391141816</v>
      </c>
      <c r="F37" s="71" t="n">
        <v>-0.04762404074601882</v>
      </c>
      <c r="G37" s="71" t="n">
        <v>0.09195255933441075</v>
      </c>
      <c r="H37" s="71" t="n">
        <v>0.04764673204503252</v>
      </c>
    </row>
    <row r="38">
      <c r="B38" s="10" t="inlineStr">
        <is>
          <t>Overdraft — average limit</t>
        </is>
      </c>
      <c r="C38" s="63" t="n">
        <v>15000</v>
      </c>
      <c r="D38" s="14" t="inlineStr">
        <is>
          <t>£/facility</t>
        </is>
      </c>
      <c r="E38" s="71" t="n">
        <v>0.09519058528012668</v>
      </c>
      <c r="F38" s="71" t="n">
        <v>-0.05209194641982378</v>
      </c>
      <c r="G38" s="71" t="n">
        <v>0.051574506124141</v>
      </c>
      <c r="H38" s="71" t="n">
        <v>0.05211909627141639</v>
      </c>
    </row>
    <row r="39">
      <c r="B39" s="10" t="inlineStr">
        <is>
          <t>Productive hours per FTE per month</t>
        </is>
      </c>
      <c r="C39" s="63" t="n">
        <v>147</v>
      </c>
      <c r="D39" s="14" t="inlineStr">
        <is>
          <t>hours</t>
        </is>
      </c>
      <c r="E39" s="71" t="n">
        <v>0.09121190632452875</v>
      </c>
      <c r="F39" s="71" t="n">
        <v>-0.09522355823886089</v>
      </c>
      <c r="G39" s="71" t="n">
        <v>0.09121190632435788</v>
      </c>
      <c r="H39" s="71" t="n">
        <v>0</v>
      </c>
    </row>
    <row r="40">
      <c r="B40" s="10" t="inlineStr">
        <is>
          <t>Overdraft — penetration</t>
        </is>
      </c>
      <c r="C40" s="63" t="n">
        <v>0.25</v>
      </c>
      <c r="D40" s="14" t="inlineStr">
        <is>
          <t>%</t>
        </is>
      </c>
      <c r="E40" s="71" t="n">
        <v>0.08132422312990931</v>
      </c>
      <c r="F40" s="71" t="n">
        <v>-0.0376232594615131</v>
      </c>
      <c r="G40" s="71" t="n">
        <v>0.0377141861854879</v>
      </c>
      <c r="H40" s="71" t="n">
        <v>0.05211909627141639</v>
      </c>
    </row>
    <row r="41">
      <c r="B41" s="10" t="inlineStr">
        <is>
          <t>Customers per relationship manager (L)</t>
        </is>
      </c>
      <c r="C41" s="63" t="n">
        <v>120</v>
      </c>
      <c r="D41" s="14" t="inlineStr">
        <is>
          <t>customers</t>
        </is>
      </c>
      <c r="E41" s="71" t="n">
        <v>0.08107710567534358</v>
      </c>
      <c r="F41" s="71" t="n">
        <v>-0.08464301213748615</v>
      </c>
      <c r="G41" s="71" t="n">
        <v>0.08107710567522457</v>
      </c>
      <c r="H41" s="71" t="n">
        <v>0</v>
      </c>
    </row>
    <row r="42">
      <c r="B42" s="10" t="inlineStr">
        <is>
          <t>Share of customers that are relationship-managed</t>
        </is>
      </c>
      <c r="C42" s="63" t="n">
        <v>0.15</v>
      </c>
      <c r="D42" s="14" t="inlineStr">
        <is>
          <t>%</t>
        </is>
      </c>
      <c r="E42" s="71" t="n">
        <v>-0.08092587948856705</v>
      </c>
      <c r="F42" s="71" t="n">
        <v>0.08448513477060619</v>
      </c>
      <c r="G42" s="71" t="n">
        <v>-0.08092587948885854</v>
      </c>
      <c r="H42" s="71" t="n">
        <v>0</v>
      </c>
    </row>
    <row r="43">
      <c r="B43" s="10" t="inlineStr">
        <is>
          <t>BCA — net transaction &amp; cash-handling income</t>
        </is>
      </c>
      <c r="C43" s="63" t="n">
        <v>120</v>
      </c>
      <c r="D43" s="14" t="inlineStr">
        <is>
          <t>£/account/yr</t>
        </is>
      </c>
      <c r="E43" s="71" t="n">
        <v>0.07985158712913452</v>
      </c>
      <c r="F43" s="71" t="n">
        <v>-0.03810286182134639</v>
      </c>
      <c r="G43" s="71" t="n">
        <v>0.07356320301076685</v>
      </c>
      <c r="H43" s="71" t="n">
        <v>0.03811738563602602</v>
      </c>
    </row>
    <row r="44">
      <c r="B44" s="10" t="inlineStr">
        <is>
          <t>Change-the-bank / transformation spend per customer</t>
        </is>
      </c>
      <c r="C44" s="63" t="n">
        <v>120</v>
      </c>
      <c r="D44" s="14" t="inlineStr">
        <is>
          <t>£/customer/yr</t>
        </is>
      </c>
      <c r="E44" s="71" t="n">
        <v>-0.07907321021607008</v>
      </c>
      <c r="F44" s="71" t="n">
        <v>0.08255098201058327</v>
      </c>
      <c r="G44" s="71" t="n">
        <v>-0.0790732102163739</v>
      </c>
      <c r="H44" s="71" t="n">
        <v>0</v>
      </c>
    </row>
    <row r="45">
      <c r="B45" s="10" t="inlineStr">
        <is>
          <t>Term loans — probability of default</t>
        </is>
      </c>
      <c r="C45" s="63" t="n">
        <v>0.018</v>
      </c>
      <c r="D45" s="14" t="inlineStr">
        <is>
          <t>% p.a.</t>
        </is>
      </c>
      <c r="E45" s="71" t="n">
        <v>-0.07828247811390938</v>
      </c>
      <c r="F45" s="71" t="n">
        <v>0</v>
      </c>
      <c r="G45" s="71" t="n">
        <v>-0.07828247811415756</v>
      </c>
      <c r="H45" s="71" t="n">
        <v>0</v>
      </c>
    </row>
    <row r="46">
      <c r="B46" s="10" t="inlineStr">
        <is>
          <t>Term loans — loss given default</t>
        </is>
      </c>
      <c r="C46" s="63" t="n">
        <v>0.25</v>
      </c>
      <c r="D46" s="14" t="inlineStr">
        <is>
          <t>%</t>
        </is>
      </c>
      <c r="E46" s="71" t="n">
        <v>-0.07828247811390938</v>
      </c>
      <c r="F46" s="71" t="n">
        <v>0</v>
      </c>
      <c r="G46" s="71" t="n">
        <v>-0.07828247811415756</v>
      </c>
      <c r="H46" s="71" t="n">
        <v>0</v>
      </c>
    </row>
    <row r="47">
      <c r="B47" s="10" t="inlineStr">
        <is>
          <t>Term loans — arrangement fee</t>
        </is>
      </c>
      <c r="C47" s="63" t="n">
        <v>0.015</v>
      </c>
      <c r="D47" s="14" t="inlineStr">
        <is>
          <t>% of loan</t>
        </is>
      </c>
      <c r="E47" s="71" t="n">
        <v>0.07486086293356362</v>
      </c>
      <c r="F47" s="71" t="n">
        <v>-0.03572228365829964</v>
      </c>
      <c r="G47" s="71" t="n">
        <v>0.0689657736584007</v>
      </c>
      <c r="H47" s="71" t="n">
        <v>0.03573504903377439</v>
      </c>
    </row>
    <row r="48">
      <c r="B48" s="10" t="inlineStr">
        <is>
          <t>Invoice finance — discount margin over base</t>
        </is>
      </c>
      <c r="C48" s="63" t="n">
        <v>0.025</v>
      </c>
      <c r="D48" s="14" t="inlineStr">
        <is>
          <t>% p.a.</t>
        </is>
      </c>
      <c r="E48" s="71" t="n">
        <v>0.07486086293356362</v>
      </c>
      <c r="F48" s="71" t="n">
        <v>-0.03572228365829964</v>
      </c>
      <c r="G48" s="71" t="n">
        <v>0.0689657736584007</v>
      </c>
      <c r="H48" s="71" t="n">
        <v>0.03573504903377439</v>
      </c>
    </row>
    <row r="49">
      <c r="B49" s="10" t="inlineStr">
        <is>
          <t>Term loans — risk weight</t>
        </is>
      </c>
      <c r="C49" s="63" t="n">
        <v>0.7</v>
      </c>
      <c r="D49" s="14" t="inlineStr">
        <is>
          <t>%</t>
        </is>
      </c>
      <c r="E49" s="71" t="n">
        <v>0.07264851188601439</v>
      </c>
      <c r="F49" s="71" t="n">
        <v>-0.03466695472918382</v>
      </c>
      <c r="G49" s="71" t="n">
        <v>-0.5108399059911144</v>
      </c>
      <c r="H49" s="71" t="n">
        <v>0.03467897687449064</v>
      </c>
    </row>
    <row r="50">
      <c r="B50" s="10" t="inlineStr">
        <is>
          <t>International payments — number per user per year</t>
        </is>
      </c>
      <c r="C50" s="63" t="n">
        <v>30</v>
      </c>
      <c r="D50" s="14" t="inlineStr">
        <is>
          <t>payments</t>
        </is>
      </c>
      <c r="E50" s="71" t="n">
        <v>0.06987013873799271</v>
      </c>
      <c r="F50" s="71" t="n">
        <v>-0.03334159210622355</v>
      </c>
      <c r="G50" s="71" t="n">
        <v>0.06436830819666425</v>
      </c>
      <c r="H50" s="71" t="n">
        <v>0.03335271243152277</v>
      </c>
    </row>
    <row r="51">
      <c r="B51" s="10" t="inlineStr">
        <is>
          <t>International payment fee</t>
        </is>
      </c>
      <c r="C51" s="63" t="n">
        <v>17.5</v>
      </c>
      <c r="D51" s="14" t="inlineStr">
        <is>
          <t>£/payment</t>
        </is>
      </c>
      <c r="E51" s="71" t="n">
        <v>0.06987013873799271</v>
      </c>
      <c r="F51" s="71" t="n">
        <v>-0.03334159210622355</v>
      </c>
      <c r="G51" s="71" t="n">
        <v>0.06436830819666425</v>
      </c>
      <c r="H51" s="71" t="n">
        <v>0.03335271243152277</v>
      </c>
    </row>
    <row r="52">
      <c r="B52" s="10" t="inlineStr">
        <is>
          <t>BCA — monthly account fee</t>
        </is>
      </c>
      <c r="C52" s="63" t="n">
        <v>8.5</v>
      </c>
      <c r="D52" s="14" t="inlineStr">
        <is>
          <t>£/month</t>
        </is>
      </c>
      <c r="E52" s="71" t="n">
        <v>0.06787384905976844</v>
      </c>
      <c r="F52" s="71" t="n">
        <v>-0.03238928373466862</v>
      </c>
      <c r="G52" s="71" t="n">
        <v>0.06252931190123294</v>
      </c>
      <c r="H52" s="71" t="n">
        <v>0.03239977779061431</v>
      </c>
    </row>
    <row r="53">
      <c r="B53" s="10" t="inlineStr">
        <is>
          <t>Relationship manager — salary</t>
        </is>
      </c>
      <c r="C53" s="63" t="n">
        <v>65000</v>
      </c>
      <c r="D53" s="14" t="inlineStr">
        <is>
          <t>£/yr</t>
        </is>
      </c>
      <c r="E53" s="71" t="n">
        <v>-0.06464852694618542</v>
      </c>
      <c r="F53" s="71" t="n">
        <v>0.06749187708921207</v>
      </c>
      <c r="G53" s="71" t="n">
        <v>-0.06464852694648321</v>
      </c>
      <c r="H53" s="71" t="n">
        <v>0</v>
      </c>
    </row>
    <row r="54">
      <c r="B54" s="10" t="inlineStr">
        <is>
          <t>Instant-access savings — average balance</t>
        </is>
      </c>
      <c r="C54" s="63" t="n">
        <v>30000</v>
      </c>
      <c r="D54" s="14" t="inlineStr">
        <is>
          <t>£/account</t>
        </is>
      </c>
      <c r="E54" s="71" t="n">
        <v>0.06103463413552909</v>
      </c>
      <c r="F54" s="71" t="n">
        <v>-0.02751368315916409</v>
      </c>
      <c r="G54" s="71" t="n">
        <v>0.05600480950303754</v>
      </c>
      <c r="H54" s="71" t="n">
        <v>0.03049390850881691</v>
      </c>
    </row>
    <row r="55">
      <c r="B55" s="10" t="inlineStr">
        <is>
          <t>Term loans — average life</t>
        </is>
      </c>
      <c r="C55" s="63" t="n">
        <v>4</v>
      </c>
      <c r="D55" s="14" t="inlineStr">
        <is>
          <t>years</t>
        </is>
      </c>
      <c r="E55" s="71" t="n">
        <v>-0.0605521133221927</v>
      </c>
      <c r="F55" s="71" t="n">
        <v>0.02122446956929888</v>
      </c>
      <c r="G55" s="71" t="n">
        <v>-0.05472260563925134</v>
      </c>
      <c r="H55" s="71" t="n">
        <v>-0.03538123666704555</v>
      </c>
    </row>
    <row r="56">
      <c r="B56" s="10" t="inlineStr">
        <is>
          <t>BCA — credit interest paid</t>
        </is>
      </c>
      <c r="C56" s="63" t="n">
        <v>0.005</v>
      </c>
      <c r="D56" s="14" t="inlineStr">
        <is>
          <t>% p.a.</t>
        </is>
      </c>
      <c r="E56" s="71" t="n">
        <v>-0.0598886903468509</v>
      </c>
      <c r="F56" s="71" t="n">
        <v>0.02859621432394117</v>
      </c>
      <c r="G56" s="71" t="n">
        <v>-0.05517846962304982</v>
      </c>
      <c r="H56" s="71" t="n">
        <v>-0.02858803922701951</v>
      </c>
    </row>
    <row r="57">
      <c r="B57" s="10" t="inlineStr">
        <is>
          <t>Instant-access savings — penetration</t>
        </is>
      </c>
      <c r="C57" s="63" t="n">
        <v>0.4</v>
      </c>
      <c r="D57" s="14" t="inlineStr">
        <is>
          <t>%</t>
        </is>
      </c>
      <c r="E57" s="71" t="n">
        <v>0.0592544503026677</v>
      </c>
      <c r="F57" s="71" t="n">
        <v>-0.02565577041929928</v>
      </c>
      <c r="G57" s="71" t="n">
        <v>0.05422471515567431</v>
      </c>
      <c r="H57" s="71" t="n">
        <v>0.03049390850881691</v>
      </c>
    </row>
    <row r="58">
      <c r="B58" s="10" t="inlineStr">
        <is>
          <t>Overdraft — average utilisation</t>
        </is>
      </c>
      <c r="C58" s="63" t="n">
        <v>0.45</v>
      </c>
      <c r="D58" s="14" t="inlineStr">
        <is>
          <t>% of limit</t>
        </is>
      </c>
      <c r="E58" s="71" t="n">
        <v>0.05776015381344716</v>
      </c>
      <c r="F58" s="71" t="n">
        <v>-0.03423984406982809</v>
      </c>
      <c r="G58" s="71" t="n">
        <v>0.01710511817772802</v>
      </c>
      <c r="H58" s="71" t="n">
        <v>0.03425157175458779</v>
      </c>
    </row>
    <row r="59">
      <c r="B59" s="10" t="inlineStr">
        <is>
          <t>Credit analyst / underwriter — salary</t>
        </is>
      </c>
      <c r="C59" s="63" t="n">
        <v>55000</v>
      </c>
      <c r="D59" s="14" t="inlineStr">
        <is>
          <t>£/yr</t>
        </is>
      </c>
      <c r="E59" s="71" t="n">
        <v>-0.05171141124509487</v>
      </c>
      <c r="F59" s="71" t="n">
        <v>0.05398576544161963</v>
      </c>
      <c r="G59" s="71" t="n">
        <v>-0.05171141124499209</v>
      </c>
      <c r="H59" s="71" t="n">
        <v>0</v>
      </c>
    </row>
    <row r="60">
      <c r="B60" s="10" t="inlineStr">
        <is>
          <t>Liquidity buffer held against deposits (LCR / HQLA)</t>
        </is>
      </c>
      <c r="C60" s="63" t="n">
        <v>0.15</v>
      </c>
      <c r="D60" s="14" t="inlineStr">
        <is>
          <t>% of deposits</t>
        </is>
      </c>
      <c r="E60" s="71" t="n">
        <v>-0.04117347461329634</v>
      </c>
      <c r="F60" s="71" t="n">
        <v>0.01965814063393465</v>
      </c>
      <c r="G60" s="71" t="n">
        <v>-0.03793463915464931</v>
      </c>
      <c r="H60" s="71" t="n">
        <v>-0.01965427696859545</v>
      </c>
    </row>
    <row r="61">
      <c r="B61" s="10" t="inlineStr">
        <is>
          <t>Yield give-up on the liquidity buffer vs Bank Rate</t>
        </is>
      </c>
      <c r="C61" s="63" t="n">
        <v>0.01</v>
      </c>
      <c r="D61" s="14" t="inlineStr">
        <is>
          <t>% p.a.</t>
        </is>
      </c>
      <c r="E61" s="71" t="n">
        <v>-0.04117347461329634</v>
      </c>
      <c r="F61" s="71" t="n">
        <v>0.01965814063393465</v>
      </c>
      <c r="G61" s="71" t="n">
        <v>-0.03793463915464931</v>
      </c>
      <c r="H61" s="71" t="n">
        <v>-0.01965427696859545</v>
      </c>
    </row>
    <row r="62">
      <c r="B62" s="10" t="inlineStr">
        <is>
          <t>Unit-level platform &amp; processing cost</t>
        </is>
      </c>
      <c r="C62" s="63" t="n">
        <v>60</v>
      </c>
      <c r="D62" s="14" t="inlineStr">
        <is>
          <t>£/customer/yr</t>
        </is>
      </c>
      <c r="E62" s="71" t="n">
        <v>-0.03953660510803504</v>
      </c>
      <c r="F62" s="71" t="n">
        <v>0.0412754910054009</v>
      </c>
      <c r="G62" s="71" t="n">
        <v>-0.03953660510795137</v>
      </c>
      <c r="H62" s="71" t="n">
        <v>0</v>
      </c>
    </row>
    <row r="63">
      <c r="B63" s="10" t="inlineStr">
        <is>
          <t>Overdraft — annual arrangement/renewal fee</t>
        </is>
      </c>
      <c r="C63" s="63" t="n">
        <v>0.015</v>
      </c>
      <c r="D63" s="14" t="inlineStr">
        <is>
          <t>% of limit</t>
        </is>
      </c>
      <c r="E63" s="71" t="n">
        <v>0.03743043146690454</v>
      </c>
      <c r="F63" s="71" t="n">
        <v>-0.01786433260297001</v>
      </c>
      <c r="G63" s="71" t="n">
        <v>0.03448390249733824</v>
      </c>
      <c r="H63" s="71" t="n">
        <v>0.01786752451694579</v>
      </c>
    </row>
    <row r="64">
      <c r="B64" s="10" t="inlineStr">
        <is>
          <t>Fraud &amp; payment losses (incl. APP reimbursement) per current account</t>
        </is>
      </c>
      <c r="C64" s="63" t="n">
        <v>45</v>
      </c>
      <c r="D64" s="14" t="inlineStr">
        <is>
          <t>£/BCA/yr</t>
        </is>
      </c>
      <c r="E64" s="71" t="n">
        <v>-0.02965245383102628</v>
      </c>
      <c r="F64" s="71" t="n">
        <v>0.03095661825405067</v>
      </c>
      <c r="G64" s="71" t="n">
        <v>-0.02965245383120229</v>
      </c>
      <c r="H64" s="71" t="n">
        <v>0</v>
      </c>
    </row>
    <row r="65">
      <c r="B65" s="10" t="inlineStr">
        <is>
          <t>Asset finance — probability of default</t>
        </is>
      </c>
      <c r="C65" s="63" t="n">
        <v>0.022</v>
      </c>
      <c r="D65" s="14" t="inlineStr">
        <is>
          <t>% p.a.</t>
        </is>
      </c>
      <c r="E65" s="71" t="n">
        <v>-0.02857600386260983</v>
      </c>
      <c r="F65" s="71" t="n">
        <v>0</v>
      </c>
      <c r="G65" s="71" t="n">
        <v>-0.02857600386254362</v>
      </c>
      <c r="H65" s="71" t="n">
        <v>0</v>
      </c>
    </row>
    <row r="66">
      <c r="B66" s="10" t="inlineStr">
        <is>
          <t>Asset finance — loss given default</t>
        </is>
      </c>
      <c r="C66" s="63" t="n">
        <v>0.35</v>
      </c>
      <c r="D66" s="14" t="inlineStr">
        <is>
          <t>%</t>
        </is>
      </c>
      <c r="E66" s="71" t="n">
        <v>-0.02857600386260983</v>
      </c>
      <c r="F66" s="71" t="n">
        <v>0</v>
      </c>
      <c r="G66" s="71" t="n">
        <v>-0.02857600386254362</v>
      </c>
      <c r="H66" s="71" t="n">
        <v>0</v>
      </c>
    </row>
    <row r="67">
      <c r="B67" s="10" t="inlineStr">
        <is>
          <t>Management span (staff per manager)</t>
        </is>
      </c>
      <c r="C67" s="63" t="n">
        <v>8</v>
      </c>
      <c r="D67" s="14" t="inlineStr">
        <is>
          <t>staff</t>
        </is>
      </c>
      <c r="E67" s="71" t="n">
        <v>0.02728475739292511</v>
      </c>
      <c r="F67" s="71" t="n">
        <v>-0.0284847865736678</v>
      </c>
      <c r="G67" s="71" t="n">
        <v>0.02728475739261982</v>
      </c>
      <c r="H67" s="71" t="n">
        <v>0</v>
      </c>
    </row>
    <row r="68">
      <c r="B68" s="10" t="inlineStr">
        <is>
          <t>Team manager — salary</t>
        </is>
      </c>
      <c r="C68" s="63" t="n">
        <v>85000</v>
      </c>
      <c r="D68" s="14" t="inlineStr">
        <is>
          <t>£/yr</t>
        </is>
      </c>
      <c r="E68" s="71" t="n">
        <v>-0.0257511658564655</v>
      </c>
      <c r="F68" s="71" t="n">
        <v>0.02688374512136233</v>
      </c>
      <c r="G68" s="71" t="n">
        <v>-0.02575116585676012</v>
      </c>
      <c r="H68" s="71" t="n">
        <v>0</v>
      </c>
    </row>
    <row r="69">
      <c r="B69" s="10" t="inlineStr">
        <is>
          <t>Annual customer churn (replaced at steady state)</t>
        </is>
      </c>
      <c r="C69" s="63" t="n">
        <v>0.12</v>
      </c>
      <c r="D69" s="14" t="inlineStr">
        <is>
          <t>% p.a.</t>
        </is>
      </c>
      <c r="E69" s="71" t="n">
        <v>-0.02469126258220576</v>
      </c>
      <c r="F69" s="71" t="n">
        <v>0.02577722553153486</v>
      </c>
      <c r="G69" s="71" t="n">
        <v>-0.02469126258230462</v>
      </c>
      <c r="H69" s="71" t="n">
        <v>0</v>
      </c>
    </row>
    <row r="70">
      <c r="B70" s="10" t="inlineStr">
        <is>
          <t>Employment on-costs (NI, pension, benefits)</t>
        </is>
      </c>
      <c r="C70" s="63" t="n">
        <v>0.15</v>
      </c>
      <c r="D70" s="14" t="inlineStr">
        <is>
          <t>% of salary</t>
        </is>
      </c>
      <c r="E70" s="71" t="n">
        <v>-0.02057660219051082</v>
      </c>
      <c r="F70" s="71" t="n">
        <v>0.02148159550679803</v>
      </c>
      <c r="G70" s="71" t="n">
        <v>-0.02057660219063057</v>
      </c>
      <c r="H70" s="71" t="n">
        <v>0</v>
      </c>
    </row>
    <row r="71">
      <c r="B71" s="10" t="inlineStr">
        <is>
          <t>Operational-risk RWA multiple of gross income</t>
        </is>
      </c>
      <c r="C71" s="63" t="n">
        <v>1.875</v>
      </c>
      <c r="D71" s="14" t="inlineStr">
        <is>
          <t>x revenue</t>
        </is>
      </c>
      <c r="E71" s="71" t="n">
        <v>0.01940217969118421</v>
      </c>
      <c r="F71" s="71" t="n">
        <v>-0.009260828777932256</v>
      </c>
      <c r="G71" s="71" t="n">
        <v>-0.1370151321223097</v>
      </c>
      <c r="H71" s="71" t="n">
        <v>0.009261686486871161</v>
      </c>
    </row>
    <row r="72">
      <c r="B72" s="10" t="inlineStr">
        <is>
          <t>Share of lending balances held by RM-managed customers</t>
        </is>
      </c>
      <c r="C72" s="63" t="n">
        <v>0.6</v>
      </c>
      <c r="D72" s="14" t="inlineStr">
        <is>
          <t>%</t>
        </is>
      </c>
      <c r="E72" s="71" t="n">
        <v>0.01833005970171241</v>
      </c>
      <c r="F72" s="71" t="n">
        <v>0</v>
      </c>
      <c r="G72" s="71" t="n">
        <v>0.0183300597013768</v>
      </c>
      <c r="H72" s="71" t="n">
        <v>0</v>
      </c>
    </row>
    <row r="73">
      <c r="B73" s="10" t="inlineStr">
        <is>
          <t>Stewardship effect: relative PD reduction on RM-covered balances</t>
        </is>
      </c>
      <c r="C73" s="63" t="n">
        <v>0.2</v>
      </c>
      <c r="D73" s="14" t="inlineStr">
        <is>
          <t>%</t>
        </is>
      </c>
      <c r="E73" s="71" t="n">
        <v>0.01833005970171241</v>
      </c>
      <c r="F73" s="71" t="n">
        <v>0</v>
      </c>
      <c r="G73" s="71" t="n">
        <v>0.0183300597013768</v>
      </c>
      <c r="H73" s="71" t="n">
        <v>0</v>
      </c>
    </row>
    <row r="74">
      <c r="B74" s="10" t="inlineStr">
        <is>
          <t>Churn replacement — acquisition marketing per new customer won</t>
        </is>
      </c>
      <c r="C74" s="63" t="n">
        <v>240</v>
      </c>
      <c r="D74" s="14" t="inlineStr">
        <is>
          <t>£/new customer</t>
        </is>
      </c>
      <c r="E74" s="71" t="n">
        <v>-0.01826591155990401</v>
      </c>
      <c r="F74" s="71" t="n">
        <v>0.01906927684454543</v>
      </c>
      <c r="G74" s="71" t="n">
        <v>-0.01826591156004862</v>
      </c>
      <c r="H74" s="71" t="n">
        <v>0</v>
      </c>
    </row>
    <row r="75">
      <c r="B75" s="10" t="inlineStr">
        <is>
          <t>Asset finance — risk weight</t>
        </is>
      </c>
      <c r="C75" s="63" t="n">
        <v>0.8</v>
      </c>
      <c r="D75" s="14" t="inlineStr">
        <is>
          <t>%</t>
        </is>
      </c>
      <c r="E75" s="71" t="n">
        <v>0.01771239908840788</v>
      </c>
      <c r="F75" s="71" t="n">
        <v>-0.008454350017280498</v>
      </c>
      <c r="G75" s="71" t="n">
        <v>-0.125099206722287</v>
      </c>
      <c r="H75" s="71" t="n">
        <v>0.008455064837974957</v>
      </c>
    </row>
    <row r="76">
      <c r="B76" s="10" t="inlineStr">
        <is>
          <t>Card — interest rate on revolving balances</t>
        </is>
      </c>
      <c r="C76" s="63" t="n">
        <v>0.159</v>
      </c>
      <c r="D76" s="14" t="inlineStr">
        <is>
          <t>% p.a.</t>
        </is>
      </c>
      <c r="E76" s="71" t="n">
        <v>0.01587050294203331</v>
      </c>
      <c r="F76" s="71" t="n">
        <v>-0.007575256506550518</v>
      </c>
      <c r="G76" s="71" t="n">
        <v>0.01462142272077909</v>
      </c>
      <c r="H76" s="71" t="n">
        <v>0.007575830395216416</v>
      </c>
    </row>
    <row r="77">
      <c r="B77" s="10" t="inlineStr">
        <is>
          <t>Service &amp; operations staff — salary</t>
        </is>
      </c>
      <c r="C77" s="63" t="n">
        <v>32000</v>
      </c>
      <c r="D77" s="14" t="inlineStr">
        <is>
          <t>£/yr</t>
        </is>
      </c>
      <c r="E77" s="71" t="n">
        <v>-0.01564284608034933</v>
      </c>
      <c r="F77" s="71" t="n">
        <v>0.01633084456626305</v>
      </c>
      <c r="G77" s="71" t="n">
        <v>-0.01564284608081514</v>
      </c>
      <c r="H77" s="71" t="n">
        <v>0</v>
      </c>
    </row>
    <row r="78">
      <c r="B78" s="10" t="inlineStr">
        <is>
          <t>Overdraft — probability of default</t>
        </is>
      </c>
      <c r="C78" s="63" t="n">
        <v>0.026</v>
      </c>
      <c r="D78" s="14" t="inlineStr">
        <is>
          <t>% p.a.</t>
        </is>
      </c>
      <c r="E78" s="71" t="n">
        <v>-0.01399299296284985</v>
      </c>
      <c r="F78" s="71" t="n">
        <v>0</v>
      </c>
      <c r="G78" s="71" t="n">
        <v>-0.01399299296281295</v>
      </c>
      <c r="H78" s="71" t="n">
        <v>0</v>
      </c>
    </row>
    <row r="79">
      <c r="B79" s="10" t="inlineStr">
        <is>
          <t>Overdraft — loss given default</t>
        </is>
      </c>
      <c r="C79" s="63" t="n">
        <v>0.55</v>
      </c>
      <c r="D79" s="14" t="inlineStr">
        <is>
          <t>%</t>
        </is>
      </c>
      <c r="E79" s="71" t="n">
        <v>-0.01399299296284985</v>
      </c>
      <c r="F79" s="71" t="n">
        <v>0</v>
      </c>
      <c r="G79" s="71" t="n">
        <v>-0.01399299296281295</v>
      </c>
      <c r="H79" s="71" t="n">
        <v>0</v>
      </c>
    </row>
    <row r="80">
      <c r="B80" s="10" t="inlineStr">
        <is>
          <t>Term loan underwriting &amp; completion</t>
        </is>
      </c>
      <c r="C80" s="63" t="n">
        <v>14</v>
      </c>
      <c r="D80" s="14" t="inlineStr">
        <is>
          <t>hrs/new loan</t>
        </is>
      </c>
      <c r="E80" s="71" t="n">
        <v>-0.01370322847785298</v>
      </c>
      <c r="F80" s="71" t="n">
        <v>0.01430591934339043</v>
      </c>
      <c r="G80" s="71" t="n">
        <v>-0.0137032284779602</v>
      </c>
      <c r="H80" s="71" t="n">
        <v>0</v>
      </c>
    </row>
    <row r="81">
      <c r="B81" s="10" t="inlineStr">
        <is>
          <t>Invoice finance — probability of default</t>
        </is>
      </c>
      <c r="C81" s="63" t="n">
        <v>0.026</v>
      </c>
      <c r="D81" s="14" t="inlineStr">
        <is>
          <t>% p.a.</t>
        </is>
      </c>
      <c r="E81" s="71" t="n">
        <v>-0.01356896287307272</v>
      </c>
      <c r="F81" s="71" t="n">
        <v>0</v>
      </c>
      <c r="G81" s="71" t="n">
        <v>-0.01356896287333288</v>
      </c>
      <c r="H81" s="71" t="n">
        <v>0</v>
      </c>
    </row>
    <row r="82">
      <c r="B82" s="10" t="inlineStr">
        <is>
          <t>Invoice finance — loss given default</t>
        </is>
      </c>
      <c r="C82" s="63" t="n">
        <v>0.2</v>
      </c>
      <c r="D82" s="14" t="inlineStr">
        <is>
          <t>%</t>
        </is>
      </c>
      <c r="E82" s="71" t="n">
        <v>-0.01356896287307272</v>
      </c>
      <c r="F82" s="71" t="n">
        <v>0</v>
      </c>
      <c r="G82" s="71" t="n">
        <v>-0.01356896287333288</v>
      </c>
      <c r="H82" s="71" t="n">
        <v>0</v>
      </c>
    </row>
    <row r="83">
      <c r="B83" s="10" t="inlineStr">
        <is>
          <t>Premises &amp; facilities per unit FTE</t>
        </is>
      </c>
      <c r="C83" s="63" t="n">
        <v>6000</v>
      </c>
      <c r="D83" s="14" t="inlineStr">
        <is>
          <t>£/FTE/yr</t>
        </is>
      </c>
      <c r="E83" s="71" t="n">
        <v>-0.01354829332592148</v>
      </c>
      <c r="F83" s="71" t="n">
        <v>0.01414416988493427</v>
      </c>
      <c r="G83" s="71" t="n">
        <v>-0.01354829332627234</v>
      </c>
      <c r="H83" s="71" t="n">
        <v>0</v>
      </c>
    </row>
    <row r="84">
      <c r="B84" s="10" t="inlineStr">
        <is>
          <t>BCA servicing (queries, payments support)</t>
        </is>
      </c>
      <c r="C84" s="63" t="n">
        <v>0.6</v>
      </c>
      <c r="D84" s="14" t="inlineStr">
        <is>
          <t>hrs/account/yr</t>
        </is>
      </c>
      <c r="E84" s="71" t="n">
        <v>-0.01335137874766737</v>
      </c>
      <c r="F84" s="71" t="n">
        <v>0.01393859467455354</v>
      </c>
      <c r="G84" s="71" t="n">
        <v>-0.01335137874769045</v>
      </c>
      <c r="H84" s="71" t="n">
        <v>0</v>
      </c>
    </row>
    <row r="85">
      <c r="B85" s="10" t="inlineStr">
        <is>
          <t>Overdraft annual review &amp; renewal</t>
        </is>
      </c>
      <c r="C85" s="63" t="n">
        <v>1.5</v>
      </c>
      <c r="D85" s="14" t="inlineStr">
        <is>
          <t>hrs/facility/yr</t>
        </is>
      </c>
      <c r="E85" s="71" t="n">
        <v>-0.01223502542667563</v>
      </c>
      <c r="F85" s="71" t="n">
        <v>0.01277314227084876</v>
      </c>
      <c r="G85" s="71" t="n">
        <v>-0.01223502542703396</v>
      </c>
      <c r="H85" s="71" t="n">
        <v>0</v>
      </c>
    </row>
    <row r="86">
      <c r="B86" s="10" t="inlineStr">
        <is>
          <t>Term loan annual review</t>
        </is>
      </c>
      <c r="C86" s="63" t="n">
        <v>3</v>
      </c>
      <c r="D86" s="14" t="inlineStr">
        <is>
          <t>hrs/loan/yr</t>
        </is>
      </c>
      <c r="E86" s="71" t="n">
        <v>-0.01174562440962334</v>
      </c>
      <c r="F86" s="71" t="n">
        <v>0.01226221658007843</v>
      </c>
      <c r="G86" s="71" t="n">
        <v>-0.01174562440975294</v>
      </c>
      <c r="H86" s="71" t="n">
        <v>0</v>
      </c>
    </row>
    <row r="87">
      <c r="B87" s="10" t="inlineStr">
        <is>
          <t>FSCS deposit-protection levy</t>
        </is>
      </c>
      <c r="C87" s="63" t="n">
        <v>0.0005999999999999999</v>
      </c>
      <c r="D87" s="14" t="inlineStr">
        <is>
          <t>% of protected deposits</t>
        </is>
      </c>
      <c r="E87" s="71" t="n">
        <v>-0.009785309764238673</v>
      </c>
      <c r="F87" s="71" t="n">
        <v>0.01021568402375696</v>
      </c>
      <c r="G87" s="71" t="n">
        <v>-0.009785309764105748</v>
      </c>
      <c r="H87" s="71" t="n">
        <v>0</v>
      </c>
    </row>
    <row r="88">
      <c r="B88" s="10" t="inlineStr">
        <is>
          <t>Share of deposit balances that are FSCS-protected</t>
        </is>
      </c>
      <c r="C88" s="63" t="n">
        <v>0.6</v>
      </c>
      <c r="D88" s="14" t="inlineStr">
        <is>
          <t>%</t>
        </is>
      </c>
      <c r="E88" s="71" t="n">
        <v>-0.009785309764238673</v>
      </c>
      <c r="F88" s="71" t="n">
        <v>0.01021568402375696</v>
      </c>
      <c r="G88" s="71" t="n">
        <v>-0.009785309764105748</v>
      </c>
      <c r="H88" s="71" t="n">
        <v>0</v>
      </c>
    </row>
    <row r="89">
      <c r="B89" s="10" t="inlineStr">
        <is>
          <t>Invoice finance — risk weight</t>
        </is>
      </c>
      <c r="C89" s="63" t="n">
        <v>0.6</v>
      </c>
      <c r="D89" s="14" t="inlineStr">
        <is>
          <t>%</t>
        </is>
      </c>
      <c r="E89" s="71" t="n">
        <v>0.009340522956773279</v>
      </c>
      <c r="F89" s="71" t="n">
        <v>-0.00445852680457372</v>
      </c>
      <c r="G89" s="71" t="n">
        <v>-0.06601483744602295</v>
      </c>
      <c r="H89" s="71" t="n">
        <v>0.004458725598148796</v>
      </c>
    </row>
    <row r="90">
      <c r="B90" s="10" t="inlineStr">
        <is>
          <t>Overdraft — risk weight</t>
        </is>
      </c>
      <c r="C90" s="63" t="n">
        <v>0.75</v>
      </c>
      <c r="D90" s="14" t="inlineStr">
        <is>
          <t>% of drawn</t>
        </is>
      </c>
      <c r="E90" s="71" t="n">
        <v>0.004378370135987474</v>
      </c>
      <c r="F90" s="71" t="n">
        <v>-0.002089983942857775</v>
      </c>
      <c r="G90" s="71" t="n">
        <v>-0.03095684670595658</v>
      </c>
      <c r="H90" s="71" t="n">
        <v>0.002090027624132248</v>
      </c>
    </row>
    <row r="91">
      <c r="B91" s="10" t="inlineStr">
        <is>
          <t>Tax rate (corporation tax + bank surcharge)</t>
        </is>
      </c>
      <c r="C91" s="63" t="n">
        <v>0.28</v>
      </c>
      <c r="D91" s="14" t="inlineStr">
        <is>
          <t>%</t>
        </is>
      </c>
      <c r="E91" s="71" t="n">
        <v>0</v>
      </c>
      <c r="F91" s="71" t="n">
        <v>0</v>
      </c>
      <c r="G91" s="71" t="n">
        <v>-0.388888888889195</v>
      </c>
      <c r="H91" s="7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F31"/>
  <sheetViews>
    <sheetView workbookViewId="0">
      <pane ySplit="3" topLeftCell="A4" activePane="bottomLeft" state="frozen"/>
      <selection pane="bottomLeft" activeCell="A1" sqref="A1"/>
    </sheetView>
  </sheetViews>
  <sheetFormatPr baseColWidth="8" defaultRowHeight="15"/>
  <cols>
    <col width="2" customWidth="1" min="1" max="1"/>
    <col width="40" customWidth="1" min="2" max="2"/>
    <col width="18" customWidth="1" min="3" max="3"/>
    <col width="18" customWidth="1" min="4" max="4"/>
    <col width="10" customWidth="1" min="5" max="5"/>
    <col width="78" customWidth="1" min="6" max="6"/>
  </cols>
  <sheetData>
    <row r="1">
      <c r="B1" s="1" t="inlineStr">
        <is>
          <t>BACKTEST — ALLICA BANK LIMITED, FY2023</t>
        </is>
      </c>
    </row>
    <row r="2" ht="62" customHeight="1">
      <c r="B2" s="5" t="inlineStr">
        <is>
          <t>Nothing else in this workbook has been checked against a real outcome. This tab is that check. Allica is the closest listed-accounts analogue to the archetype modelled here: a UK bank serving established SMEs with commercial mortgages, asset finance, deposits and a business current account. FY2023 is used because its annual report publishes total operating income AND total operating expenses separately, which a cost test requires; the FY2024 release gives gross revenue and profit before tax but not the split. OakNorth is excluded for the same reason — no source found publishes its operating income and expenses separately.</t>
        </is>
      </c>
    </row>
    <row r="3" ht="30" customHeight="1">
      <c r="B3" s="5" t="inlineStr">
        <is>
          <t>Method: the model was configured to Allica's observable shape — one operating unit, ~3,000 customers, £1.98bn of lending at a 7.5% yield, £2.5bn of term deposits, 2023 average Bank Rate 4.7%, no cards, no FX, no invoice finance, relationship-led throughout. Harness: backtest_allica.py.</t>
        </is>
      </c>
    </row>
    <row r="5">
      <c r="B5" s="45" t="inlineStr"/>
      <c r="C5" s="45" t="inlineStr">
        <is>
          <t>MODEL</t>
        </is>
      </c>
      <c r="D5" s="45" t="inlineStr">
        <is>
          <t>ACTUAL (audited)</t>
        </is>
      </c>
      <c r="E5" s="45" t="inlineStr">
        <is>
          <t>ratio</t>
        </is>
      </c>
      <c r="F5" s="45" t="inlineStr">
        <is>
          <t>Reading</t>
        </is>
      </c>
    </row>
    <row r="6" ht="30" customHeight="1">
      <c r="B6" s="42" t="inlineStr">
        <is>
          <t>Total operating income</t>
        </is>
      </c>
      <c r="C6" s="46" t="n">
        <v>93514473</v>
      </c>
      <c r="D6" s="46" t="n">
        <v>86808000</v>
      </c>
      <c r="E6" s="72" t="n">
        <v>1.077256393419961</v>
      </c>
      <c r="F6" s="5" t="inlineStr">
        <is>
          <t>The revenue engine holds. 8% error on a real bank, from public inputs only — margins, transfer pricing and product economics reproduce.</t>
        </is>
      </c>
    </row>
    <row r="7" ht="30" customHeight="1">
      <c r="B7" s="42" t="inlineStr">
        <is>
          <t>Total operating costs</t>
        </is>
      </c>
      <c r="C7" s="46" t="n">
        <v>8164139</v>
      </c>
      <c r="D7" s="46" t="n">
        <v>56438000</v>
      </c>
      <c r="E7" s="72" t="n">
        <v>0.1446567738048832</v>
      </c>
      <c r="F7" s="5" t="inlineStr">
        <is>
          <t>The cost engine fails, and by an order of magnitude. This is the finding.</t>
        </is>
      </c>
    </row>
    <row r="8" ht="30" customHeight="1">
      <c r="B8" s="42" t="inlineStr">
        <is>
          <t>Profit before tax</t>
        </is>
      </c>
      <c r="C8" s="46" t="n">
        <v>76640314</v>
      </c>
      <c r="D8" s="46" t="n">
        <v>16091000</v>
      </c>
      <c r="E8" s="72" t="n">
        <v>4.762930458020011</v>
      </c>
      <c r="F8" s="5" t="inlineStr">
        <is>
          <t>Follows the cost failure, not an independent error.</t>
        </is>
      </c>
    </row>
    <row r="9" ht="30" customHeight="1">
      <c r="B9" s="42" t="inlineStr">
        <is>
          <t>Operating-unit FTE</t>
        </is>
      </c>
      <c r="C9" s="44" t="n">
        <v>45</v>
      </c>
      <c r="D9" s="44" t="n">
        <v>496</v>
      </c>
      <c r="E9" s="72" t="n">
        <v>0.09072580645161291</v>
      </c>
      <c r="F9" s="5" t="inlineStr">
        <is>
          <t>Allica's 496 includes 200+ product and engineering staff building the platform; the model books those to head office, and books head office per customer.</t>
        </is>
      </c>
    </row>
    <row r="10">
      <c r="B10" s="42" t="inlineStr">
        <is>
          <t>Cost:income ratio</t>
        </is>
      </c>
      <c r="C10" s="48" t="n">
        <v>0.0873</v>
      </c>
      <c r="D10" s="48" t="n">
        <v>0.65</v>
      </c>
      <c r="E10" s="72" t="n">
        <v>0.1343076923076923</v>
      </c>
      <c r="F10" s="5" t="inlineStr">
        <is>
          <t>Allica's own disclosed ratio. The model's 8.7% is not a plausible bank.</t>
        </is>
      </c>
    </row>
    <row r="12">
      <c r="B12" s="7" t="inlineStr">
        <is>
          <t>WHAT THE FAILURE MEANS</t>
        </is>
      </c>
      <c r="C12" s="8" t="inlineStr"/>
      <c r="D12" s="8" t="inlineStr"/>
      <c r="E12" s="8" t="inlineStr"/>
      <c r="F12" s="8" t="inlineStr"/>
    </row>
    <row r="13" ht="52" customHeight="1">
      <c r="B13" s="5" t="inlineStr">
        <is>
          <t>• Head-office cost was modelled purely per customer. That is a scale assumption wearing the costume of a cost driver: it is only true near the book size the model was calibrated on. At Allica's customer count the model allocates £2.8m of head office where the real fixed platform, compliance and brand base is an order of magnitude larger.</t>
        </is>
      </c>
    </row>
    <row r="14" ht="26" customHeight="1">
      <c r="B14" s="5" t="inlineStr">
        <is>
          <t>• A steady-state model cannot represent a bank that grew lending 47% and headcount from 324 to 496 in the year measured. Growth cost is excluded by construction, not by oversight.</t>
        </is>
      </c>
    </row>
    <row r="15" ht="39" customHeight="1">
      <c r="B15" s="5" t="inlineStr">
        <is>
          <t>• The consequence for simulating new business ideas is direct: every new venture starts sub-scale, so a model that is only valid at scale cannot price one. This is the empirical version of the same limit as the missing time axis.</t>
        </is>
      </c>
    </row>
    <row r="16" ht="39" customHeight="1">
      <c r="B16" s="5" t="inlineStr">
        <is>
          <t>• The fix this motivated is live: Inputs section N adds a fixed component to each head-office pool, defaulting to zero so v1.5 behaviour is unchanged. Setting it lets the model represent a bank away from at-scale.</t>
        </is>
      </c>
    </row>
    <row r="17" ht="39" customHeight="1">
      <c r="B17" s="5" t="inlineStr">
        <is>
          <t>• What survives the test is worth as much as what fails. The revenue engine reproduced a real bank's operating income to within 8% from public inputs. That side of the model can now be relied on in a way it could not before this tab existed.</t>
        </is>
      </c>
    </row>
    <row r="19">
      <c r="B19" s="7" t="inlineStr">
        <is>
          <t>OUT-OF-SAMPLE — CALIBRATE ON 2022-23, PREDICT 2024</t>
        </is>
      </c>
      <c r="C19" s="8" t="inlineStr"/>
      <c r="D19" s="8" t="inlineStr"/>
      <c r="E19" s="8" t="inlineStr"/>
      <c r="F19" s="8" t="inlineStr"/>
    </row>
    <row r="20" ht="28" customHeight="1">
      <c r="B20" s="5" t="inlineStr">
        <is>
          <t>Fitting a model to the data it was calibrated on proves nothing. The cost structure below was calibrated on two published years and then used to predict a third it never saw. Harness: backtest_allica_oos.py.</t>
        </is>
      </c>
    </row>
    <row r="21">
      <c r="B21" s="45" t="inlineStr">
        <is>
          <t>Year</t>
        </is>
      </c>
      <c r="C21" s="45" t="inlineStr">
        <is>
          <t>Lending book</t>
        </is>
      </c>
      <c r="D21" s="45" t="inlineStr">
        <is>
          <t>Operating cost</t>
        </is>
      </c>
      <c r="E21" s="45" t="inlineStr">
        <is>
          <t>Cost / book</t>
        </is>
      </c>
      <c r="F21" s="45" t="inlineStr">
        <is>
          <t>Elasticity vs prior year</t>
        </is>
      </c>
    </row>
    <row r="22">
      <c r="B22" s="42" t="n">
        <v>2022</v>
      </c>
      <c r="C22" s="46" t="n">
        <v>1348166000</v>
      </c>
      <c r="D22" s="46" t="n">
        <v>41426000</v>
      </c>
      <c r="E22" s="48" t="n">
        <v>0.03072767003469899</v>
      </c>
      <c r="F22" s="63" t="inlineStr">
        <is>
          <t>—</t>
        </is>
      </c>
    </row>
    <row r="23">
      <c r="B23" s="42" t="n">
        <v>2023</v>
      </c>
      <c r="C23" s="46" t="n">
        <v>1976826000</v>
      </c>
      <c r="D23" s="46" t="n">
        <v>56438000</v>
      </c>
      <c r="E23" s="48" t="n">
        <v>0.02854980660918057</v>
      </c>
      <c r="F23" s="63" t="n">
        <v>0.8080000000000001</v>
      </c>
    </row>
    <row r="24">
      <c r="B24" s="42" t="n">
        <v>2024</v>
      </c>
      <c r="C24" s="46" t="n">
        <v>3000000000</v>
      </c>
      <c r="D24" s="46" t="n">
        <v>73148000</v>
      </c>
      <c r="E24" s="48" t="n">
        <v>0.02438266666666667</v>
      </c>
      <c r="F24" s="63" t="n">
        <v>0.622</v>
      </c>
    </row>
    <row r="25">
      <c r="B25" s="5" t="inlineStr">
        <is>
          <t>2024 operating cost is implied — income less impairment less the published profit before tax.</t>
        </is>
      </c>
    </row>
    <row r="26" ht="26" customHeight="1">
      <c r="B26" s="42" t="inlineStr">
        <is>
          <t>Predicted 2024 profit before tax</t>
        </is>
      </c>
      <c r="C26" s="46" t="n">
        <v>23993000</v>
      </c>
      <c r="F26" s="5" t="inlineStr">
        <is>
          <t>cost carried forward at the 0.808 elasticity measured on 2022-23</t>
        </is>
      </c>
    </row>
    <row r="27" ht="26" customHeight="1">
      <c r="B27" s="42" t="inlineStr">
        <is>
          <t>Actual 2024 profit before tax</t>
        </is>
      </c>
      <c r="C27" s="46" t="n">
        <v>29900000</v>
      </c>
      <c r="F27" s="5" t="inlineStr">
        <is>
          <t>published</t>
        </is>
      </c>
    </row>
    <row r="28" ht="26" customHeight="1">
      <c r="B28" s="42" t="inlineStr">
        <is>
          <t>Error</t>
        </is>
      </c>
      <c r="C28" s="48" t="n">
        <v>-0.198</v>
      </c>
      <c r="F28" s="5" t="inlineStr">
        <is>
          <t>under-predicts, because leverage steepened to 0.622 — efficiency improved faster than the prior year could have told you</t>
        </is>
      </c>
    </row>
    <row r="29" ht="30" customHeight="1">
      <c r="B29" s="5" t="inlineStr">
        <is>
          <t>A structural model calibrated on two years of accounts predicted the third to within 20% on profit — the residual of three larger numbers, and the hardest line to get right. Three data points and one bank: directional evidence about structure, not a validated forecast.</t>
        </is>
      </c>
    </row>
    <row r="31" ht="40" customHeight="1">
      <c r="B31" s="5" t="inlineStr">
        <is>
          <t>Source: Allica Bank Limited, Annual Report and Accounts 2023 (company number 07706156). Total operating income £86,808k; total operating expenses £56,438k; cost:income 65.0%; impairment charges £14,279k; profit before tax £16,091k; net interest margin 5.00%; loans and advances to customers £1,976,826k; colleagues at year end 496.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2026-08-22T15:02:11Z</dcterms:created>
  <dcterms:modified xmlns:dcterms="http://purl.org/dc/terms/" xmlns:xsi="http://www.w3.org/2001/XMLSchema-instance" xsi:type="dcterms:W3CDTF">2026-08-22T15:02:11Z</dcterms:modified>
</cp:coreProperties>
</file>