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1. Customers" sheetId="3" state="visible" r:id="rId3"/>
    <sheet xmlns:r="http://schemas.openxmlformats.org/officeDocument/2006/relationships" name="2. Revenues" sheetId="4" state="visible" r:id="rId4"/>
    <sheet xmlns:r="http://schemas.openxmlformats.org/officeDocument/2006/relationships" name="3. HR &amp; Activity" sheetId="5" state="visible" r:id="rId5"/>
    <sheet xmlns:r="http://schemas.openxmlformats.org/officeDocument/2006/relationships" name="4. Running Costs" sheetId="6" state="visible" r:id="rId6"/>
    <sheet xmlns:r="http://schemas.openxmlformats.org/officeDocument/2006/relationships" name="5. Risk &amp; Capital" sheetId="7" state="visible" r:id="rId7"/>
    <sheet xmlns:r="http://schemas.openxmlformats.org/officeDocument/2006/relationships" name="6. Unit Economics" sheetId="8" state="visible" r:id="rId8"/>
    <sheet xmlns:r="http://schemas.openxmlformats.org/officeDocument/2006/relationships" name="7. P&amp;L" sheetId="9" state="visible" r:id="rId9"/>
    <sheet xmlns:r="http://schemas.openxmlformats.org/officeDocument/2006/relationships" name="8. Flow 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£#,##0"/>
    <numFmt numFmtId="166" formatCode="£#,##0.00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color rgb="00008000"/>
      <sz val="10"/>
    </font>
    <font>
      <name val="Arial"/>
      <color rgb="00A0A0A0"/>
      <sz val="8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  <xf numFmtId="0" fontId="3" fillId="2" borderId="0" pivotButton="0" quotePrefix="0" xfId="0"/>
    <xf numFmtId="0" fontId="5" fillId="3" borderId="0" pivotButton="0" quotePrefix="0" xfId="0"/>
    <xf numFmtId="0" fontId="3" fillId="0" borderId="0" pivotButton="0" quotePrefix="0" xfId="0"/>
    <xf numFmtId="10" fontId="6" fillId="0" borderId="0" pivotButton="0" quotePrefix="0" xfId="0"/>
    <xf numFmtId="0" fontId="2" fillId="0" borderId="0" applyAlignment="1" pivotButton="0" quotePrefix="0" xfId="0">
      <alignment vertical="top" wrapText="1"/>
    </xf>
    <xf numFmtId="10" fontId="3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0" fontId="7" fillId="4" borderId="0" pivotButton="0" quotePrefix="0" xfId="0"/>
    <xf numFmtId="10" fontId="7" fillId="4" borderId="0" pivotButton="0" quotePrefix="0" xfId="0"/>
    <xf numFmtId="10" fontId="6" fillId="4" borderId="0" pivotButton="0" quotePrefix="0" xfId="0"/>
    <xf numFmtId="166" fontId="6" fillId="0" borderId="0" pivotButton="0" quotePrefix="0" xfId="0"/>
    <xf numFmtId="4" fontId="6" fillId="0" borderId="0" pivotButton="0" quotePrefix="0" xfId="0"/>
    <xf numFmtId="167" fontId="6" fillId="0" borderId="0" pivotButton="0" quotePrefix="0" xfId="0"/>
    <xf numFmtId="167" fontId="7" fillId="4" borderId="0" pivotButton="0" quotePrefix="0" xfId="0"/>
    <xf numFmtId="167" fontId="6" fillId="4" borderId="0" pivotButton="0" quotePrefix="0" xfId="0"/>
    <xf numFmtId="164" fontId="7" fillId="4" borderId="0" pivotButton="0" quotePrefix="0" xfId="0"/>
    <xf numFmtId="164" fontId="6" fillId="4" borderId="0" pivotButton="0" quotePrefix="0" xfId="0"/>
    <xf numFmtId="0" fontId="5" fillId="0" borderId="0" pivotButton="0" quotePrefix="0" xfId="0"/>
    <xf numFmtId="3" fontId="5" fillId="5" borderId="0" pivotButton="0" quotePrefix="0" xfId="0"/>
    <xf numFmtId="3" fontId="3" fillId="0" borderId="0" pivotButton="0" quotePrefix="0" xfId="0"/>
    <xf numFmtId="3" fontId="5" fillId="0" borderId="0" pivotButton="0" quotePrefix="0" xfId="0"/>
    <xf numFmtId="0" fontId="5" fillId="3" borderId="0" applyAlignment="1" pivotButton="0" quotePrefix="0" xfId="0">
      <alignment vertical="top" wrapText="1"/>
    </xf>
    <xf numFmtId="165" fontId="3" fillId="0" borderId="0" pivotButton="0" quotePrefix="0" xfId="0"/>
    <xf numFmtId="165" fontId="5" fillId="5" borderId="0" pivotButton="0" quotePrefix="0" xfId="0"/>
    <xf numFmtId="164" fontId="3" fillId="0" borderId="0" pivotButton="0" quotePrefix="0" xfId="0"/>
    <xf numFmtId="3" fontId="8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0" fontId="5" fillId="5" borderId="0" pivotButton="0" quotePrefix="0" xfId="0"/>
    <xf numFmtId="166" fontId="3" fillId="0" borderId="0" pivotButton="0" quotePrefix="0" xfId="0"/>
    <xf numFmtId="0" fontId="9" fillId="0" borderId="0" pivotButton="0" quotePrefix="0" xfId="0"/>
    <xf numFmtId="4" fontId="3" fillId="0" borderId="0" pivotButton="0" quotePrefix="0" xfId="0"/>
    <xf numFmtId="167" fontId="3" fillId="0" borderId="0" pivotButton="0" quotePrefix="0" xfId="0"/>
    <xf numFmtId="167" fontId="5" fillId="5" borderId="0" pivotButton="0" quotePrefix="0" xfId="0"/>
    <xf numFmtId="164" fontId="8" fillId="0" borderId="0" pivotButton="0" quotePrefix="0" xfId="0"/>
    <xf numFmtId="4" fontId="8" fillId="0" borderId="0" pivotButton="0" quotePrefix="0" xfId="0"/>
    <xf numFmtId="165" fontId="5" fillId="6" borderId="0" pivotButton="0" quotePrefix="0" xfId="0"/>
    <xf numFmtId="10" fontId="8" fillId="0" borderId="0" pivotButton="0" quotePrefix="0" xfId="0"/>
    <xf numFmtId="0" fontId="9" fillId="0" borderId="0" applyAlignment="1" pivotButton="0" quotePrefix="0" xfId="0">
      <alignment horizontal="center" vertical="top"/>
    </xf>
    <xf numFmtId="0" fontId="5" fillId="6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MERIDIAN BUSINESS BANK — BOTTOM-UP UNIT ECONOMICS MODEL</t>
        </is>
      </c>
    </row>
    <row r="3">
      <c r="B3" s="2" t="inlineStr">
        <is>
          <t>What this is</t>
        </is>
      </c>
    </row>
    <row r="4" ht="52" customHeight="1">
      <c r="B4" s="3" t="inlineStr">
        <is>
          <t>• A bottom-up model of Meridian's Business Banking unit (45,000 customers) built with the method of the public uk-sme-bank-reference-model: bound the operating unit, derive every cost from activity drivers (transaction intensity I, customer load L), build whole costs including risk and capital, and check per-product economic profit after a cost-of-equity charge.</t>
        </is>
      </c>
    </row>
    <row r="5" ht="39" customHeight="1">
      <c r="B5" s="3" t="inlineStr">
        <is>
          <t>• All numbers from the Meridian internal fact pack. Three inputs the fact pack declares missing — commercial card interchange, workout hours, RM time-split — plus two gaps found while building (BCA credit interest, FX margin) are FLAGGED in red/pink and carried as [low, high] bands, with their P&amp;L swing shown on the P&amp;L tab.</t>
        </is>
      </c>
    </row>
    <row r="7">
      <c r="B7" s="2" t="inlineStr">
        <is>
          <t>Tabs</t>
        </is>
      </c>
    </row>
    <row r="8" ht="24" customHeight="1">
      <c r="B8" s="3" t="inlineStr">
        <is>
          <t>• Inputs — every assumption with source; red/pink = missing-input assumption with band.</t>
        </is>
      </c>
    </row>
    <row r="9" ht="24" customHeight="1">
      <c r="B9" s="3" t="inlineStr">
        <is>
          <t>• 1. Customers — Step 1 bounding: 45,000 customers → product volumes and balances.</t>
        </is>
      </c>
    </row>
    <row r="10" ht="26" customHeight="1">
      <c r="B10" s="3" t="inlineStr">
        <is>
          <t>• 2. Revenues — margins vs FTP (floating = Bank Rate; term = +55bps; stable deposits get the liquidity-adjusted FTP: float − 14%×0.9% + 45bps behavioural credit).</t>
        </is>
      </c>
    </row>
    <row r="11" ht="26" customHeight="1">
      <c r="B11" s="3" t="inlineStr">
        <is>
          <t>• 3. HR &amp; Activity — every FTE from activity drivers; the RM originate/steward/defend system with the flagged 50/30/20 split.</t>
        </is>
      </c>
    </row>
    <row r="12" ht="24" customHeight="1">
      <c r="B12" s="3" t="inlineStr">
        <is>
          <t>• 4. Running Costs — direct + HQ pools + change-the-bank; ABC attribution memo to the causality limit.</t>
        </is>
      </c>
    </row>
    <row r="13" ht="24" customHeight="1">
      <c r="B13" s="3" t="inlineStr">
        <is>
          <t>• 5. Risk &amp; Capital — EL (PD × LGD), credit + op-risk RWAs, 13.5% CET1 equity, 11.5% required return.</t>
        </is>
      </c>
    </row>
    <row r="14" ht="24" customHeight="1">
      <c r="B14" s="3" t="inlineStr">
        <is>
          <t>• 6. Unit Economics — per-product whole-cost economics; bridge check vs the P&amp;L must tie to ~0.</t>
        </is>
      </c>
    </row>
    <row r="15" ht="24" customHeight="1">
      <c r="B15" s="3" t="inlineStr">
        <is>
          <t>• 7. P&amp;L — whole-cost P&amp;L, ratios, and the missing-input band table.</t>
        </is>
      </c>
    </row>
    <row r="16" ht="24" customHeight="1">
      <c r="B16" s="3" t="inlineStr">
        <is>
          <t>• 8. Flow Register — flows, DRIs, costed-via anchors, money-outflow fidelity, module roll-up.</t>
        </is>
      </c>
    </row>
    <row r="18">
      <c r="B18" s="2" t="inlineStr">
        <is>
          <t>Colour legend</t>
        </is>
      </c>
    </row>
    <row r="19" ht="26" customHeight="1">
      <c r="B19" s="3" t="inlineStr">
        <is>
          <t>• Blue = fact-pack input · Red on pink = missing-input assumption (banded) · Yellow = key unallocated pools / economic profit · Black = formula · Green = cross-sheet link.</t>
        </is>
      </c>
    </row>
    <row r="21">
      <c r="B21" s="2" t="inlineStr">
        <is>
          <t>Method disciplines held</t>
        </is>
      </c>
    </row>
    <row r="22" ht="65" customHeight="1">
      <c r="B22" s="3" t="inlineStr">
        <is>
          <t>• Working products derived from CTM state changes, never brainstormed. Every activity has a named volume driver — no '% of revenue'. Every money outflow appears as a flow (fidelity table, tab 8). Costs attributed only as far as causality runs; joint costs held as a portfolio hurdle. Capital charged at cost of equity → economic profit per product. Benefits without evidence (stewardship PD reduction, defence churn credit) set to zero rather than assumed.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54" customWidth="1" min="2" max="2"/>
    <col width="13" customWidth="1" min="3" max="3"/>
    <col width="11" customWidth="1" min="4" max="4"/>
    <col width="12" customWidth="1" min="5" max="5"/>
    <col width="12" customWidth="1" min="6" max="6"/>
    <col width="80" customWidth="1" min="7" max="7"/>
  </cols>
  <sheetData>
    <row r="1">
      <c r="B1" s="1" t="inlineStr">
        <is>
          <t>INPUTS &amp; ASSUMPTIONS — MERIDIAN BUSINESS BANK BOTTOM-UP MODEL</t>
        </is>
      </c>
    </row>
    <row r="2">
      <c r="B2" s="4" t="inlineStr">
        <is>
          <t>Blue = fact-pack input. RED on pink = input MISSING from the fact pack — flagged, carried as a [low, high] band, never silently invented.</t>
        </is>
      </c>
    </row>
    <row r="4">
      <c r="B4" s="5" t="inlineStr">
        <is>
          <t>A. MARKET, FUNDING &amp; FUNDS-TRANSFER PRICES</t>
        </is>
      </c>
      <c r="C4" s="6" t="inlineStr"/>
      <c r="D4" s="6" t="inlineStr"/>
      <c r="E4" s="6" t="inlineStr"/>
      <c r="F4" s="6" t="inlineStr"/>
      <c r="G4" s="6" t="inlineStr"/>
    </row>
    <row r="5">
      <c r="B5" s="7" t="inlineStr">
        <is>
          <t>Item</t>
        </is>
      </c>
      <c r="C5" s="7" t="inlineStr">
        <is>
          <t>Value</t>
        </is>
      </c>
      <c r="D5" s="7" t="inlineStr">
        <is>
          <t>Unit</t>
        </is>
      </c>
      <c r="E5" s="7" t="inlineStr">
        <is>
          <t>Low</t>
        </is>
      </c>
      <c r="F5" s="7" t="inlineStr">
        <is>
          <t>High</t>
        </is>
      </c>
      <c r="G5" s="7" t="inlineStr">
        <is>
          <t>Source / note</t>
        </is>
      </c>
    </row>
    <row r="6">
      <c r="B6" s="8" t="inlineStr">
        <is>
          <t>Bank of England Bank Rate</t>
        </is>
      </c>
      <c r="C6" s="9" t="n">
        <v>0.0375</v>
      </c>
      <c r="D6" s="4" t="inlineStr">
        <is>
          <t>% p.a.</t>
        </is>
      </c>
      <c r="G6" s="10" t="inlineStr">
        <is>
          <t>Meridian fact pack</t>
        </is>
      </c>
    </row>
    <row r="7">
      <c r="B7" s="8" t="inlineStr">
        <is>
          <t>Term funding premium over Bank Rate</t>
        </is>
      </c>
      <c r="C7" s="9" t="n">
        <v>0.0055</v>
      </c>
      <c r="D7" s="4" t="inlineStr">
        <is>
          <t>% p.a.</t>
        </is>
      </c>
      <c r="G7" s="10" t="inlineStr">
        <is>
          <t>Meridian fact pack: +55bps</t>
        </is>
      </c>
    </row>
    <row r="8">
      <c r="B8" s="8" t="inlineStr">
        <is>
          <t>FTP — floating (= Bank Rate)</t>
        </is>
      </c>
      <c r="C8" s="11">
        <f>'Inputs'!$C$6</f>
        <v/>
      </c>
      <c r="D8" s="4" t="inlineStr">
        <is>
          <t>% p.a.</t>
        </is>
      </c>
      <c r="G8" s="10" t="inlineStr">
        <is>
          <t>Internal transfer price; method per reference model</t>
        </is>
      </c>
    </row>
    <row r="9">
      <c r="B9" s="8" t="inlineStr">
        <is>
          <t>FTP — term (= Bank Rate + premium)</t>
        </is>
      </c>
      <c r="C9" s="11">
        <f>'Inputs'!$C$6+'Inputs'!$C$7</f>
        <v/>
      </c>
      <c r="D9" s="4" t="inlineStr">
        <is>
          <t>% p.a.</t>
        </is>
      </c>
      <c r="G9" s="10" t="inlineStr">
        <is>
          <t>Charged to term lending; credited to term deposits</t>
        </is>
      </c>
    </row>
    <row r="10">
      <c r="B10" s="8" t="inlineStr">
        <is>
          <t>Liquidity buffer held against deposits</t>
        </is>
      </c>
      <c r="C10" s="12" t="n">
        <v>0.14</v>
      </c>
      <c r="D10" s="4" t="inlineStr">
        <is>
          <t>% of deposits</t>
        </is>
      </c>
      <c r="G10" s="10" t="inlineStr">
        <is>
          <t>Meridian fact pack</t>
        </is>
      </c>
    </row>
    <row r="11">
      <c r="B11" s="8" t="inlineStr">
        <is>
          <t>Yield give-up on the liquidity buffer vs Bank Rate</t>
        </is>
      </c>
      <c r="C11" s="9" t="n">
        <v>0.008999999999999999</v>
      </c>
      <c r="D11" s="4" t="inlineStr">
        <is>
          <t>% p.a.</t>
        </is>
      </c>
      <c r="G11" s="10" t="inlineStr">
        <is>
          <t>Meridian fact pack</t>
        </is>
      </c>
    </row>
    <row r="12">
      <c r="B12" s="8" t="inlineStr">
        <is>
          <t>Behavioural term credit for stable non-maturing deposits</t>
        </is>
      </c>
      <c r="C12" s="9" t="n">
        <v>0.0045</v>
      </c>
      <c r="D12" s="4" t="inlineStr">
        <is>
          <t>% p.a.</t>
        </is>
      </c>
      <c r="G12" s="10" t="inlineStr">
        <is>
          <t>Meridian fact pack: 45bps</t>
        </is>
      </c>
    </row>
    <row r="13">
      <c r="B13" s="8" t="inlineStr">
        <is>
          <t>FTP credited to stable deposits (float − liq charge + behavioural credit)</t>
        </is>
      </c>
      <c r="C13" s="11">
        <f>'Inputs'!$C$8-'Inputs'!$C$10*'Inputs'!$C$11+'Inputs'!$C$12</f>
        <v/>
      </c>
      <c r="D13" s="4" t="inlineStr">
        <is>
          <t>% p.a.</t>
        </is>
      </c>
      <c r="G13" s="10" t="inlineStr">
        <is>
          <t>Applied to current accounts and instant savings — liquidity-adjusted deposit FTP per reference model</t>
        </is>
      </c>
    </row>
    <row r="14">
      <c r="B14" s="8" t="inlineStr">
        <is>
          <t>FTP credited to term deposits (term − liq charge)</t>
        </is>
      </c>
      <c r="C14" s="11">
        <f>'Inputs'!$C$9-'Inputs'!$C$10*'Inputs'!$C$11</f>
        <v/>
      </c>
      <c r="D14" s="4" t="inlineStr">
        <is>
          <t>% p.a.</t>
        </is>
      </c>
      <c r="G14" s="10" t="inlineStr">
        <is>
          <t>Applied to 1-yr fixed deposits (already termed; no behavioural uplift)</t>
        </is>
      </c>
    </row>
    <row r="15">
      <c r="B15" s="5" t="inlineStr">
        <is>
          <t>B. OPERATING UNIT — MERIDIAN BUSINESS BANKING (Step 1: bounding)</t>
        </is>
      </c>
      <c r="C15" s="6" t="inlineStr"/>
      <c r="D15" s="6" t="inlineStr"/>
      <c r="E15" s="6" t="inlineStr"/>
      <c r="F15" s="6" t="inlineStr"/>
      <c r="G15" s="6" t="inlineStr"/>
    </row>
    <row r="16">
      <c r="B16" s="7" t="inlineStr">
        <is>
          <t>Item</t>
        </is>
      </c>
      <c r="C16" s="7" t="inlineStr">
        <is>
          <t>Value</t>
        </is>
      </c>
      <c r="D16" s="7" t="inlineStr">
        <is>
          <t>Unit</t>
        </is>
      </c>
      <c r="E16" s="7" t="inlineStr">
        <is>
          <t>Low</t>
        </is>
      </c>
      <c r="F16" s="7" t="inlineStr">
        <is>
          <t>High</t>
        </is>
      </c>
      <c r="G16" s="7" t="inlineStr">
        <is>
          <t>Source / note</t>
        </is>
      </c>
    </row>
    <row r="17">
      <c r="B17" s="8" t="inlineStr">
        <is>
          <t>Reachable business market (R)</t>
        </is>
      </c>
      <c r="C17" s="13" t="n">
        <v>300000</v>
      </c>
      <c r="D17" s="4" t="inlineStr">
        <is>
          <t>businesses</t>
        </is>
      </c>
      <c r="G17" s="10" t="inlineStr">
        <is>
          <t>Meridian fact pack</t>
        </is>
      </c>
    </row>
    <row r="18">
      <c r="B18" s="8" t="inlineStr">
        <is>
          <t>Penetration (P) — implied by 45,000 customers</t>
        </is>
      </c>
      <c r="C18" s="12" t="n">
        <v>0.15</v>
      </c>
      <c r="D18" s="4" t="inlineStr">
        <is>
          <t>% of reachable</t>
        </is>
      </c>
      <c r="G18" s="10" t="inlineStr">
        <is>
          <t>Meridian fact pack: 45,000 / 300,000 = 15%</t>
        </is>
      </c>
    </row>
    <row r="19">
      <c r="B19" s="8" t="inlineStr">
        <is>
          <t>Annual customer churn (replaced at steady state)</t>
        </is>
      </c>
      <c r="C19" s="12" t="n">
        <v>0.1</v>
      </c>
      <c r="D19" s="4" t="inlineStr">
        <is>
          <t>% p.a.</t>
        </is>
      </c>
      <c r="G19" s="10" t="inlineStr">
        <is>
          <t>Meridian fact pack</t>
        </is>
      </c>
    </row>
    <row r="20">
      <c r="B20" s="8" t="inlineStr">
        <is>
          <t>Share of customers that are relationship-managed</t>
        </is>
      </c>
      <c r="C20" s="12" t="n">
        <v>0.12</v>
      </c>
      <c r="D20" s="4" t="inlineStr">
        <is>
          <t>%</t>
        </is>
      </c>
      <c r="G20" s="10" t="inlineStr">
        <is>
          <t>Meridian fact pack: segment boundary — larger/complex customers get a named RM; the rest served digitally</t>
        </is>
      </c>
    </row>
    <row r="21">
      <c r="B21" s="8" t="inlineStr">
        <is>
          <t>Customers per relationship manager (L)</t>
        </is>
      </c>
      <c r="C21" s="13" t="n">
        <v>90</v>
      </c>
      <c r="D21" s="4" t="inlineStr">
        <is>
          <t>customers</t>
        </is>
      </c>
      <c r="G21" s="10" t="inlineStr">
        <is>
          <t>Meridian fact pack</t>
        </is>
      </c>
    </row>
    <row r="22">
      <c r="B22" s="5" t="inlineStr">
        <is>
          <t>C. PRODUCT HOLDINGS &amp; BALANCES (per customer)</t>
        </is>
      </c>
      <c r="C22" s="6" t="inlineStr"/>
      <c r="D22" s="6" t="inlineStr"/>
      <c r="E22" s="6" t="inlineStr"/>
      <c r="F22" s="6" t="inlineStr"/>
      <c r="G22" s="6" t="inlineStr"/>
    </row>
    <row r="23">
      <c r="B23" s="7" t="inlineStr">
        <is>
          <t>Item</t>
        </is>
      </c>
      <c r="C23" s="7" t="inlineStr">
        <is>
          <t>Value</t>
        </is>
      </c>
      <c r="D23" s="7" t="inlineStr">
        <is>
          <t>Unit</t>
        </is>
      </c>
      <c r="E23" s="7" t="inlineStr">
        <is>
          <t>Low</t>
        </is>
      </c>
      <c r="F23" s="7" t="inlineStr">
        <is>
          <t>High</t>
        </is>
      </c>
      <c r="G23" s="7" t="inlineStr">
        <is>
          <t>Source / note</t>
        </is>
      </c>
    </row>
    <row r="24">
      <c r="B24" s="8" t="inlineStr">
        <is>
          <t>Business current account — penetration</t>
        </is>
      </c>
      <c r="C24" s="12" t="n">
        <v>1</v>
      </c>
      <c r="D24" s="4" t="inlineStr">
        <is>
          <t>%</t>
        </is>
      </c>
      <c r="G24" s="10" t="inlineStr">
        <is>
          <t>Meridian fact pack: anchor product</t>
        </is>
      </c>
    </row>
    <row r="25">
      <c r="B25" s="8" t="inlineStr">
        <is>
          <t>BCA — average credit balance</t>
        </is>
      </c>
      <c r="C25" s="14" t="n">
        <v>14000</v>
      </c>
      <c r="D25" s="4" t="inlineStr">
        <is>
          <t>£/account</t>
        </is>
      </c>
      <c r="G25" s="10" t="inlineStr">
        <is>
          <t>Meridian fact pack</t>
        </is>
      </c>
    </row>
    <row r="26">
      <c r="B26" s="8" t="inlineStr">
        <is>
          <t>Instant-access savings — penetration</t>
        </is>
      </c>
      <c r="C26" s="12" t="n">
        <v>0.35</v>
      </c>
      <c r="D26" s="4" t="inlineStr">
        <is>
          <t>%</t>
        </is>
      </c>
      <c r="G26" s="10" t="inlineStr">
        <is>
          <t>Meridian fact pack</t>
        </is>
      </c>
    </row>
    <row r="27">
      <c r="B27" s="8" t="inlineStr">
        <is>
          <t>Instant-access savings — average balance</t>
        </is>
      </c>
      <c r="C27" s="14" t="n">
        <v>22000</v>
      </c>
      <c r="D27" s="4" t="inlineStr">
        <is>
          <t>£/account</t>
        </is>
      </c>
      <c r="G27" s="10" t="inlineStr">
        <is>
          <t>Meridian fact pack</t>
        </is>
      </c>
    </row>
    <row r="28">
      <c r="B28" s="8" t="inlineStr">
        <is>
          <t>Fixed deposits (1yr) — penetration</t>
        </is>
      </c>
      <c r="C28" s="12" t="n">
        <v>0.1</v>
      </c>
      <c r="D28" s="4" t="inlineStr">
        <is>
          <t>%</t>
        </is>
      </c>
      <c r="G28" s="10" t="inlineStr">
        <is>
          <t>Meridian fact pack</t>
        </is>
      </c>
    </row>
    <row r="29">
      <c r="B29" s="8" t="inlineStr">
        <is>
          <t>Fixed deposits — average balance</t>
        </is>
      </c>
      <c r="C29" s="14" t="n">
        <v>60000</v>
      </c>
      <c r="D29" s="4" t="inlineStr">
        <is>
          <t>£/account</t>
        </is>
      </c>
      <c r="G29" s="10" t="inlineStr">
        <is>
          <t>Meridian fact pack</t>
        </is>
      </c>
    </row>
    <row r="30">
      <c r="B30" s="8" t="inlineStr">
        <is>
          <t>Term loans — penetration</t>
        </is>
      </c>
      <c r="C30" s="12" t="n">
        <v>0.09</v>
      </c>
      <c r="D30" s="4" t="inlineStr">
        <is>
          <t>%</t>
        </is>
      </c>
      <c r="G30" s="10" t="inlineStr">
        <is>
          <t>Meridian fact pack</t>
        </is>
      </c>
    </row>
    <row r="31">
      <c r="B31" s="8" t="inlineStr">
        <is>
          <t>Term loans — average balance</t>
        </is>
      </c>
      <c r="C31" s="14" t="n">
        <v>180000</v>
      </c>
      <c r="D31" s="4" t="inlineStr">
        <is>
          <t>£/loan</t>
        </is>
      </c>
      <c r="G31" s="10" t="inlineStr">
        <is>
          <t>Meridian fact pack</t>
        </is>
      </c>
    </row>
    <row r="32">
      <c r="B32" s="8" t="inlineStr">
        <is>
          <t>Term loans — average life</t>
        </is>
      </c>
      <c r="C32" s="13" t="n">
        <v>5</v>
      </c>
      <c r="D32" s="4" t="inlineStr">
        <is>
          <t>years</t>
        </is>
      </c>
      <c r="G32" s="10" t="inlineStr">
        <is>
          <t>Meridian fact pack: drives origination volume &amp; fee amortisation</t>
        </is>
      </c>
    </row>
    <row r="33">
      <c r="B33" s="8" t="inlineStr">
        <is>
          <t>Overdrafts — penetration</t>
        </is>
      </c>
      <c r="C33" s="12" t="n">
        <v>0.2</v>
      </c>
      <c r="D33" s="4" t="inlineStr">
        <is>
          <t>%</t>
        </is>
      </c>
      <c r="G33" s="10" t="inlineStr">
        <is>
          <t>Meridian fact pack</t>
        </is>
      </c>
    </row>
    <row r="34">
      <c r="B34" s="8" t="inlineStr">
        <is>
          <t>Overdrafts — average limit</t>
        </is>
      </c>
      <c r="C34" s="14" t="n">
        <v>12000</v>
      </c>
      <c r="D34" s="4" t="inlineStr">
        <is>
          <t>£/facility</t>
        </is>
      </c>
      <c r="G34" s="10" t="inlineStr">
        <is>
          <t>Meridian fact pack</t>
        </is>
      </c>
    </row>
    <row r="35">
      <c r="B35" s="8" t="inlineStr">
        <is>
          <t>Overdrafts — average utilisation</t>
        </is>
      </c>
      <c r="C35" s="12" t="n">
        <v>0.4</v>
      </c>
      <c r="D35" s="4" t="inlineStr">
        <is>
          <t>% of limit</t>
        </is>
      </c>
      <c r="G35" s="10" t="inlineStr">
        <is>
          <t>Meridian fact pack</t>
        </is>
      </c>
    </row>
    <row r="36">
      <c r="B36" s="8" t="inlineStr">
        <is>
          <t>Business credit cards — penetration</t>
        </is>
      </c>
      <c r="C36" s="12" t="n">
        <v>0.25</v>
      </c>
      <c r="D36" s="4" t="inlineStr">
        <is>
          <t>%</t>
        </is>
      </c>
      <c r="G36" s="10" t="inlineStr">
        <is>
          <t>Meridian fact pack</t>
        </is>
      </c>
    </row>
    <row r="37">
      <c r="B37" s="8" t="inlineStr">
        <is>
          <t>Card — average monthly spend</t>
        </is>
      </c>
      <c r="C37" s="14" t="n">
        <v>1800</v>
      </c>
      <c r="D37" s="4" t="inlineStr">
        <is>
          <t>£/card/month</t>
        </is>
      </c>
      <c r="G37" s="10" t="inlineStr">
        <is>
          <t>Meridian fact pack</t>
        </is>
      </c>
    </row>
    <row r="38">
      <c r="B38" s="8" t="inlineStr">
        <is>
          <t>Card — share of cards revolving a balance</t>
        </is>
      </c>
      <c r="C38" s="12" t="n">
        <v>0.2</v>
      </c>
      <c r="D38" s="4" t="inlineStr">
        <is>
          <t>%</t>
        </is>
      </c>
      <c r="G38" s="10" t="inlineStr">
        <is>
          <t>Meridian fact pack</t>
        </is>
      </c>
    </row>
    <row r="39">
      <c r="B39" s="8" t="inlineStr">
        <is>
          <t>Card — average revolving balance (revolvers)</t>
        </is>
      </c>
      <c r="C39" s="14" t="n">
        <v>1500</v>
      </c>
      <c r="D39" s="4" t="inlineStr">
        <is>
          <t>£/card</t>
        </is>
      </c>
      <c r="G39" s="10" t="inlineStr">
        <is>
          <t>Meridian fact pack</t>
        </is>
      </c>
    </row>
    <row r="40">
      <c r="B40" s="8" t="inlineStr">
        <is>
          <t>International payments &amp; FX — penetration</t>
        </is>
      </c>
      <c r="C40" s="12" t="n">
        <v>0.15</v>
      </c>
      <c r="D40" s="4" t="inlineStr">
        <is>
          <t>%</t>
        </is>
      </c>
      <c r="G40" s="10" t="inlineStr">
        <is>
          <t>Meridian fact pack</t>
        </is>
      </c>
    </row>
    <row r="41">
      <c r="B41" s="8" t="inlineStr">
        <is>
          <t>FX — average annual conversion volume</t>
        </is>
      </c>
      <c r="C41" s="14" t="n">
        <v>60000</v>
      </c>
      <c r="D41" s="4" t="inlineStr">
        <is>
          <t>£/user/yr</t>
        </is>
      </c>
      <c r="G41" s="10" t="inlineStr">
        <is>
          <t>Meridian fact pack</t>
        </is>
      </c>
    </row>
    <row r="42">
      <c r="B42" s="8" t="inlineStr">
        <is>
          <t>International payments — number per user per year</t>
        </is>
      </c>
      <c r="C42" s="13" t="n">
        <v>20</v>
      </c>
      <c r="D42" s="4" t="inlineStr">
        <is>
          <t>payments</t>
        </is>
      </c>
      <c r="G42" s="10" t="inlineStr">
        <is>
          <t>Meridian fact pack</t>
        </is>
      </c>
    </row>
    <row r="43">
      <c r="B43" s="5" t="inlineStr">
        <is>
          <t>D. PRICING &amp; FEES</t>
        </is>
      </c>
      <c r="C43" s="6" t="inlineStr"/>
      <c r="D43" s="6" t="inlineStr"/>
      <c r="E43" s="6" t="inlineStr"/>
      <c r="F43" s="6" t="inlineStr"/>
      <c r="G43" s="6" t="inlineStr"/>
    </row>
    <row r="44">
      <c r="B44" s="7" t="inlineStr">
        <is>
          <t>Item</t>
        </is>
      </c>
      <c r="C44" s="7" t="inlineStr">
        <is>
          <t>Value</t>
        </is>
      </c>
      <c r="D44" s="7" t="inlineStr">
        <is>
          <t>Unit</t>
        </is>
      </c>
      <c r="E44" s="7" t="inlineStr">
        <is>
          <t>Low</t>
        </is>
      </c>
      <c r="F44" s="7" t="inlineStr">
        <is>
          <t>High</t>
        </is>
      </c>
      <c r="G44" s="7" t="inlineStr">
        <is>
          <t>Source / note</t>
        </is>
      </c>
    </row>
    <row r="45">
      <c r="B45" s="15" t="inlineStr">
        <is>
          <t>BCA — credit interest paid</t>
        </is>
      </c>
      <c r="C45" s="16" t="n">
        <v>0</v>
      </c>
      <c r="D45" s="4" t="inlineStr">
        <is>
          <t>% p.a.</t>
        </is>
      </c>
      <c r="E45" s="17" t="n">
        <v>0</v>
      </c>
      <c r="F45" s="17" t="n">
        <v>0.005</v>
      </c>
      <c r="G45" s="10" t="inlineStr">
        <is>
          <t>GAP FOUND: fact pack states fee &amp; txn income but no BCA credit rate. Assumed 0% (typical); band 0–0.5%</t>
        </is>
      </c>
    </row>
    <row r="46">
      <c r="B46" s="8" t="inlineStr">
        <is>
          <t>BCA — monthly account fee</t>
        </is>
      </c>
      <c r="C46" s="18" t="n">
        <v>6</v>
      </c>
      <c r="D46" s="4" t="inlineStr">
        <is>
          <t>£/month</t>
        </is>
      </c>
      <c r="G46" s="10" t="inlineStr">
        <is>
          <t>Meridian fact pack</t>
        </is>
      </c>
    </row>
    <row r="47">
      <c r="B47" s="8" t="inlineStr">
        <is>
          <t>BCA — net transaction income</t>
        </is>
      </c>
      <c r="C47" s="14" t="n">
        <v>90</v>
      </c>
      <c r="D47" s="4" t="inlineStr">
        <is>
          <t>£/account/yr</t>
        </is>
      </c>
      <c r="G47" s="10" t="inlineStr">
        <is>
          <t>Meridian fact pack</t>
        </is>
      </c>
    </row>
    <row r="48">
      <c r="B48" s="8" t="inlineStr">
        <is>
          <t>Instant-access savings — rate paid</t>
        </is>
      </c>
      <c r="C48" s="9" t="n">
        <v>0.032</v>
      </c>
      <c r="D48" s="4" t="inlineStr">
        <is>
          <t>% p.a.</t>
        </is>
      </c>
      <c r="G48" s="10" t="inlineStr">
        <is>
          <t>Meridian fact pack</t>
        </is>
      </c>
    </row>
    <row r="49">
      <c r="B49" s="8" t="inlineStr">
        <is>
          <t>Fixed deposits — rate paid</t>
        </is>
      </c>
      <c r="C49" s="9" t="n">
        <v>0.043</v>
      </c>
      <c r="D49" s="4" t="inlineStr">
        <is>
          <t>% p.a.</t>
        </is>
      </c>
      <c r="G49" s="10" t="inlineStr">
        <is>
          <t>Meridian fact pack</t>
        </is>
      </c>
    </row>
    <row r="50">
      <c r="B50" s="8" t="inlineStr">
        <is>
          <t>Term loans — customer rate</t>
        </is>
      </c>
      <c r="C50" s="9" t="n">
        <v>0.064</v>
      </c>
      <c r="D50" s="4" t="inlineStr">
        <is>
          <t>% p.a.</t>
        </is>
      </c>
      <c r="G50" s="10" t="inlineStr">
        <is>
          <t>Meridian fact pack</t>
        </is>
      </c>
    </row>
    <row r="51">
      <c r="B51" s="8" t="inlineStr">
        <is>
          <t>Term loans — arrangement fee</t>
        </is>
      </c>
      <c r="C51" s="9" t="n">
        <v>0.012</v>
      </c>
      <c r="D51" s="4" t="inlineStr">
        <is>
          <t>% of loan</t>
        </is>
      </c>
      <c r="G51" s="10" t="inlineStr">
        <is>
          <t>Meridian fact pack; amortised over loan life</t>
        </is>
      </c>
    </row>
    <row r="52">
      <c r="B52" s="8" t="inlineStr">
        <is>
          <t>Overdrafts — interest rate</t>
        </is>
      </c>
      <c r="C52" s="9" t="n">
        <v>0.095</v>
      </c>
      <c r="D52" s="4" t="inlineStr">
        <is>
          <t>% p.a.</t>
        </is>
      </c>
      <c r="G52" s="10" t="inlineStr">
        <is>
          <t>Meridian fact pack</t>
        </is>
      </c>
    </row>
    <row r="53">
      <c r="B53" s="8" t="inlineStr">
        <is>
          <t>Overdrafts — annual fee</t>
        </is>
      </c>
      <c r="C53" s="9" t="n">
        <v>0.01</v>
      </c>
      <c r="D53" s="4" t="inlineStr">
        <is>
          <t>% of limit</t>
        </is>
      </c>
      <c r="G53" s="10" t="inlineStr">
        <is>
          <t>Meridian fact pack</t>
        </is>
      </c>
    </row>
    <row r="54">
      <c r="B54" s="8" t="inlineStr">
        <is>
          <t>Card — APR on revolving balances</t>
        </is>
      </c>
      <c r="C54" s="9" t="n">
        <v>0.159</v>
      </c>
      <c r="D54" s="4" t="inlineStr">
        <is>
          <t>% p.a.</t>
        </is>
      </c>
      <c r="G54" s="10" t="inlineStr">
        <is>
          <t>Meridian fact pack</t>
        </is>
      </c>
    </row>
    <row r="55">
      <c r="B55" s="8" t="inlineStr">
        <is>
          <t>Card — annual card fee</t>
        </is>
      </c>
      <c r="C55" s="14" t="n">
        <v>30</v>
      </c>
      <c r="D55" s="4" t="inlineStr">
        <is>
          <t>£/card/yr</t>
        </is>
      </c>
      <c r="G55" s="10" t="inlineStr">
        <is>
          <t>Meridian fact pack</t>
        </is>
      </c>
    </row>
    <row r="56">
      <c r="B56" s="15" t="inlineStr">
        <is>
          <t>Card — commercial interchange earned</t>
        </is>
      </c>
      <c r="C56" s="16" t="n">
        <v>0.01775</v>
      </c>
      <c r="D56" s="4" t="inlineStr">
        <is>
          <t>% of spend</t>
        </is>
      </c>
      <c r="E56" s="17" t="n">
        <v>0.0165</v>
      </c>
      <c r="F56" s="17" t="n">
        <v>0.019</v>
      </c>
      <c r="G56" s="10" t="inlineStr">
        <is>
          <t>MISSING #1 (declared in fact pack). Central = midpoint of the reference model's cited UK commercial range 1.65–1.90% (outside consumer caps). Replace with Meridian's scheme reporting.</t>
        </is>
      </c>
    </row>
    <row r="57">
      <c r="B57" s="15" t="inlineStr">
        <is>
          <t>FX — margin on conversion volume</t>
        </is>
      </c>
      <c r="C57" s="16" t="n">
        <v>0.0075</v>
      </c>
      <c r="D57" s="4" t="inlineStr">
        <is>
          <t>% of volume</t>
        </is>
      </c>
      <c r="E57" s="17" t="n">
        <v>0.0025</v>
      </c>
      <c r="F57" s="17" t="n">
        <v>0.015</v>
      </c>
      <c r="G57" s="10" t="inlineStr">
        <is>
          <t>GAP FOUND: fact pack gives conversion volume but no FX margin. Central 0.75%; band = reference model's cited public SME FX spread range 0.25–1.5%.</t>
        </is>
      </c>
    </row>
    <row r="58">
      <c r="B58" s="8" t="inlineStr">
        <is>
          <t>International payment fee</t>
        </is>
      </c>
      <c r="C58" s="18" t="n">
        <v>15</v>
      </c>
      <c r="D58" s="4" t="inlineStr">
        <is>
          <t>£/payment</t>
        </is>
      </c>
      <c r="G58" s="10" t="inlineStr">
        <is>
          <t>Meridian fact pack</t>
        </is>
      </c>
    </row>
    <row r="59">
      <c r="B59" s="5" t="inlineStr">
        <is>
          <t>E. CREDIT RISK, CAPITAL &amp; TAX (Step 3: investment costs)</t>
        </is>
      </c>
      <c r="C59" s="6" t="inlineStr"/>
      <c r="D59" s="6" t="inlineStr"/>
      <c r="E59" s="6" t="inlineStr"/>
      <c r="F59" s="6" t="inlineStr"/>
      <c r="G59" s="6" t="inlineStr"/>
    </row>
    <row r="60">
      <c r="B60" s="7" t="inlineStr">
        <is>
          <t>Item</t>
        </is>
      </c>
      <c r="C60" s="7" t="inlineStr">
        <is>
          <t>Value</t>
        </is>
      </c>
      <c r="D60" s="7" t="inlineStr">
        <is>
          <t>Unit</t>
        </is>
      </c>
      <c r="E60" s="7" t="inlineStr">
        <is>
          <t>Low</t>
        </is>
      </c>
      <c r="F60" s="7" t="inlineStr">
        <is>
          <t>High</t>
        </is>
      </c>
      <c r="G60" s="7" t="inlineStr">
        <is>
          <t>Source / note</t>
        </is>
      </c>
    </row>
    <row r="61">
      <c r="B61" s="8" t="inlineStr">
        <is>
          <t>Term loans — probability of default</t>
        </is>
      </c>
      <c r="C61" s="9" t="n">
        <v>0.02</v>
      </c>
      <c r="D61" s="4" t="inlineStr">
        <is>
          <t>% p.a.</t>
        </is>
      </c>
      <c r="G61" s="10" t="inlineStr">
        <is>
          <t>Meridian fact pack</t>
        </is>
      </c>
    </row>
    <row r="62">
      <c r="B62" s="8" t="inlineStr">
        <is>
          <t>Term loans — loss given default</t>
        </is>
      </c>
      <c r="C62" s="12" t="n">
        <v>0.3</v>
      </c>
      <c r="D62" s="4" t="inlineStr">
        <is>
          <t>%</t>
        </is>
      </c>
      <c r="G62" s="10" t="inlineStr">
        <is>
          <t>Meridian fact pack</t>
        </is>
      </c>
    </row>
    <row r="63">
      <c r="B63" s="8" t="inlineStr">
        <is>
          <t>Term loans — risk weight</t>
        </is>
      </c>
      <c r="C63" s="12" t="n">
        <v>0.65</v>
      </c>
      <c r="D63" s="4" t="inlineStr">
        <is>
          <t>%</t>
        </is>
      </c>
      <c r="G63" s="10" t="inlineStr">
        <is>
          <t>Meridian fact pack</t>
        </is>
      </c>
    </row>
    <row r="64">
      <c r="B64" s="8" t="inlineStr">
        <is>
          <t>Overdrafts — probability of default</t>
        </is>
      </c>
      <c r="C64" s="9" t="n">
        <v>0.028</v>
      </c>
      <c r="D64" s="4" t="inlineStr">
        <is>
          <t>% p.a.</t>
        </is>
      </c>
      <c r="G64" s="10" t="inlineStr">
        <is>
          <t>Meridian fact pack</t>
        </is>
      </c>
    </row>
    <row r="65">
      <c r="B65" s="8" t="inlineStr">
        <is>
          <t>Overdrafts — loss given default</t>
        </is>
      </c>
      <c r="C65" s="12" t="n">
        <v>0.6</v>
      </c>
      <c r="D65" s="4" t="inlineStr">
        <is>
          <t>%</t>
        </is>
      </c>
      <c r="G65" s="10" t="inlineStr">
        <is>
          <t>Meridian fact pack</t>
        </is>
      </c>
    </row>
    <row r="66">
      <c r="B66" s="8" t="inlineStr">
        <is>
          <t>Overdrafts — risk weight</t>
        </is>
      </c>
      <c r="C66" s="12" t="n">
        <v>0.75</v>
      </c>
      <c r="D66" s="4" t="inlineStr">
        <is>
          <t>% of drawn</t>
        </is>
      </c>
      <c r="G66" s="10" t="inlineStr">
        <is>
          <t>Meridian fact pack</t>
        </is>
      </c>
    </row>
    <row r="67">
      <c r="B67" s="8" t="inlineStr">
        <is>
          <t>Cards — probability of default</t>
        </is>
      </c>
      <c r="C67" s="9" t="n">
        <v>0.04</v>
      </c>
      <c r="D67" s="4" t="inlineStr">
        <is>
          <t>% p.a.</t>
        </is>
      </c>
      <c r="G67" s="10" t="inlineStr">
        <is>
          <t>Meridian fact pack</t>
        </is>
      </c>
    </row>
    <row r="68">
      <c r="B68" s="8" t="inlineStr">
        <is>
          <t>Cards — loss given default</t>
        </is>
      </c>
      <c r="C68" s="12" t="n">
        <v>0.8</v>
      </c>
      <c r="D68" s="4" t="inlineStr">
        <is>
          <t>%</t>
        </is>
      </c>
      <c r="G68" s="10" t="inlineStr">
        <is>
          <t>Meridian fact pack</t>
        </is>
      </c>
    </row>
    <row r="69">
      <c r="B69" s="8" t="inlineStr">
        <is>
          <t>Cards — risk weight</t>
        </is>
      </c>
      <c r="C69" s="12" t="n">
        <v>0.75</v>
      </c>
      <c r="D69" s="4" t="inlineStr">
        <is>
          <t>%</t>
        </is>
      </c>
      <c r="G69" s="10" t="inlineStr">
        <is>
          <t>Meridian fact pack</t>
        </is>
      </c>
    </row>
    <row r="70">
      <c r="B70" s="8" t="inlineStr">
        <is>
          <t>Operational-risk RWA multiple of gross income</t>
        </is>
      </c>
      <c r="C70" s="19" t="n">
        <v>1.875</v>
      </c>
      <c r="D70" s="4" t="inlineStr">
        <is>
          <t>x revenue</t>
        </is>
      </c>
      <c r="G70" s="10" t="inlineStr">
        <is>
          <t>Meridian fact pack</t>
        </is>
      </c>
    </row>
    <row r="71">
      <c r="B71" s="8" t="inlineStr">
        <is>
          <t>Equity held against RWAs (CET1 target)</t>
        </is>
      </c>
      <c r="C71" s="12" t="n">
        <v>0.135</v>
      </c>
      <c r="D71" s="4" t="inlineStr">
        <is>
          <t>% of RWA</t>
        </is>
      </c>
      <c r="G71" s="10" t="inlineStr">
        <is>
          <t>Meridian fact pack</t>
        </is>
      </c>
    </row>
    <row r="72">
      <c r="B72" s="8" t="inlineStr">
        <is>
          <t>Cost of equity</t>
        </is>
      </c>
      <c r="C72" s="12" t="n">
        <v>0.115</v>
      </c>
      <c r="D72" s="4" t="inlineStr">
        <is>
          <t>% p.a.</t>
        </is>
      </c>
      <c r="G72" s="10" t="inlineStr">
        <is>
          <t>Meridian fact pack</t>
        </is>
      </c>
    </row>
    <row r="73">
      <c r="B73" s="8" t="inlineStr">
        <is>
          <t>Tax rate</t>
        </is>
      </c>
      <c r="C73" s="12" t="n">
        <v>0.28</v>
      </c>
      <c r="D73" s="4" t="inlineStr">
        <is>
          <t>%</t>
        </is>
      </c>
      <c r="G73" s="10" t="inlineStr">
        <is>
          <t>Meridian fact pack</t>
        </is>
      </c>
    </row>
    <row r="74">
      <c r="B74" s="5" t="inlineStr">
        <is>
          <t>F. PEOPLE &amp; ACTIVITY DRIVERS (Step 2: transaction intensity I &amp; customer load L)</t>
        </is>
      </c>
      <c r="C74" s="6" t="inlineStr"/>
      <c r="D74" s="6" t="inlineStr"/>
      <c r="E74" s="6" t="inlineStr"/>
      <c r="F74" s="6" t="inlineStr"/>
      <c r="G74" s="6" t="inlineStr"/>
    </row>
    <row r="75">
      <c r="B75" s="7" t="inlineStr">
        <is>
          <t>Item</t>
        </is>
      </c>
      <c r="C75" s="7" t="inlineStr">
        <is>
          <t>Value</t>
        </is>
      </c>
      <c r="D75" s="7" t="inlineStr">
        <is>
          <t>Unit</t>
        </is>
      </c>
      <c r="E75" s="7" t="inlineStr">
        <is>
          <t>Low</t>
        </is>
      </c>
      <c r="F75" s="7" t="inlineStr">
        <is>
          <t>High</t>
        </is>
      </c>
      <c r="G75" s="7" t="inlineStr">
        <is>
          <t>Source / note</t>
        </is>
      </c>
    </row>
    <row r="76">
      <c r="B76" s="8" t="inlineStr">
        <is>
          <t>Productive hours per FTE per month</t>
        </is>
      </c>
      <c r="C76" s="13" t="n">
        <v>150</v>
      </c>
      <c r="D76" s="4" t="inlineStr">
        <is>
          <t>hours</t>
        </is>
      </c>
      <c r="G76" s="10" t="inlineStr">
        <is>
          <t>Meridian fact pack</t>
        </is>
      </c>
    </row>
    <row r="77">
      <c r="B77" s="8" t="inlineStr">
        <is>
          <t>Relationship manager — salary</t>
        </is>
      </c>
      <c r="C77" s="14" t="n">
        <v>58000</v>
      </c>
      <c r="D77" s="4" t="inlineStr">
        <is>
          <t>£/yr</t>
        </is>
      </c>
      <c r="G77" s="10" t="inlineStr">
        <is>
          <t>Meridian fact pack</t>
        </is>
      </c>
    </row>
    <row r="78">
      <c r="B78" s="8" t="inlineStr">
        <is>
          <t>Credit analyst — salary</t>
        </is>
      </c>
      <c r="C78" s="14" t="n">
        <v>48000</v>
      </c>
      <c r="D78" s="4" t="inlineStr">
        <is>
          <t>£/yr</t>
        </is>
      </c>
      <c r="G78" s="10" t="inlineStr">
        <is>
          <t>Meridian fact pack</t>
        </is>
      </c>
    </row>
    <row r="79">
      <c r="B79" s="8" t="inlineStr">
        <is>
          <t>Service &amp; ops — salary</t>
        </is>
      </c>
      <c r="C79" s="14" t="n">
        <v>30000</v>
      </c>
      <c r="D79" s="4" t="inlineStr">
        <is>
          <t>£/yr</t>
        </is>
      </c>
      <c r="G79" s="10" t="inlineStr">
        <is>
          <t>Meridian fact pack</t>
        </is>
      </c>
    </row>
    <row r="80">
      <c r="B80" s="8" t="inlineStr">
        <is>
          <t>Team manager — salary</t>
        </is>
      </c>
      <c r="C80" s="14" t="n">
        <v>75000</v>
      </c>
      <c r="D80" s="4" t="inlineStr">
        <is>
          <t>£/yr</t>
        </is>
      </c>
      <c r="G80" s="10" t="inlineStr">
        <is>
          <t>Meridian fact pack</t>
        </is>
      </c>
    </row>
    <row r="81">
      <c r="B81" s="8" t="inlineStr">
        <is>
          <t>Employment on-costs</t>
        </is>
      </c>
      <c r="C81" s="12" t="n">
        <v>0.14</v>
      </c>
      <c r="D81" s="4" t="inlineStr">
        <is>
          <t>% of salary</t>
        </is>
      </c>
      <c r="G81" s="10" t="inlineStr">
        <is>
          <t>Meridian fact pack</t>
        </is>
      </c>
    </row>
    <row r="82">
      <c r="B82" s="8" t="inlineStr">
        <is>
          <t>Management span (staff per manager)</t>
        </is>
      </c>
      <c r="C82" s="13" t="n">
        <v>8</v>
      </c>
      <c r="D82" s="4" t="inlineStr">
        <is>
          <t>staff</t>
        </is>
      </c>
      <c r="G82" s="10" t="inlineStr">
        <is>
          <t>Meridian fact pack</t>
        </is>
      </c>
    </row>
    <row r="83">
      <c r="B83" s="8" t="inlineStr">
        <is>
          <t>Onboarding (KYC + setup)</t>
        </is>
      </c>
      <c r="C83" s="20" t="n">
        <v>3</v>
      </c>
      <c r="D83" s="4" t="inlineStr">
        <is>
          <t>hrs/new customer</t>
        </is>
      </c>
      <c r="G83" s="10" t="inlineStr">
        <is>
          <t>Meridian fact pack</t>
        </is>
      </c>
    </row>
    <row r="84">
      <c r="B84" s="8" t="inlineStr">
        <is>
          <t>BCA servicing</t>
        </is>
      </c>
      <c r="C84" s="20" t="n">
        <v>0.5</v>
      </c>
      <c r="D84" s="4" t="inlineStr">
        <is>
          <t>hrs/account/yr</t>
        </is>
      </c>
      <c r="G84" s="10" t="inlineStr">
        <is>
          <t>Meridian fact pack</t>
        </is>
      </c>
    </row>
    <row r="85">
      <c r="B85" s="8" t="inlineStr">
        <is>
          <t>Savings servicing</t>
        </is>
      </c>
      <c r="C85" s="19" t="n">
        <v>0.15</v>
      </c>
      <c r="D85" s="4" t="inlineStr">
        <is>
          <t>hrs/account/yr</t>
        </is>
      </c>
      <c r="G85" s="10" t="inlineStr">
        <is>
          <t>Meridian fact pack: savings/deposit servicing</t>
        </is>
      </c>
    </row>
    <row r="86">
      <c r="B86" s="8" t="inlineStr">
        <is>
          <t>Fixed deposit servicing</t>
        </is>
      </c>
      <c r="C86" s="19" t="n">
        <v>0.15</v>
      </c>
      <c r="D86" s="4" t="inlineStr">
        <is>
          <t>hrs/account/yr</t>
        </is>
      </c>
      <c r="G86" s="10" t="inlineStr">
        <is>
          <t>Meridian fact pack: savings/deposit servicing</t>
        </is>
      </c>
    </row>
    <row r="87">
      <c r="B87" s="8" t="inlineStr">
        <is>
          <t>Term loan underwriting</t>
        </is>
      </c>
      <c r="C87" s="20" t="n">
        <v>12</v>
      </c>
      <c r="D87" s="4" t="inlineStr">
        <is>
          <t>hrs/new loan</t>
        </is>
      </c>
      <c r="G87" s="10" t="inlineStr">
        <is>
          <t>Meridian fact pack</t>
        </is>
      </c>
    </row>
    <row r="88">
      <c r="B88" s="8" t="inlineStr">
        <is>
          <t>Term loan annual review</t>
        </is>
      </c>
      <c r="C88" s="20" t="n">
        <v>2.5</v>
      </c>
      <c r="D88" s="4" t="inlineStr">
        <is>
          <t>hrs/loan/yr</t>
        </is>
      </c>
      <c r="G88" s="10" t="inlineStr">
        <is>
          <t>Meridian fact pack</t>
        </is>
      </c>
    </row>
    <row r="89">
      <c r="B89" s="8" t="inlineStr">
        <is>
          <t>Overdraft renewal</t>
        </is>
      </c>
      <c r="C89" s="20" t="n">
        <v>1.2</v>
      </c>
      <c r="D89" s="4" t="inlineStr">
        <is>
          <t>hrs/facility/yr</t>
        </is>
      </c>
      <c r="G89" s="10" t="inlineStr">
        <is>
          <t>Meridian fact pack</t>
        </is>
      </c>
    </row>
    <row r="90">
      <c r="B90" s="8" t="inlineStr">
        <is>
          <t>Card servicing</t>
        </is>
      </c>
      <c r="C90" s="19" t="n">
        <v>0.1</v>
      </c>
      <c r="D90" s="4" t="inlineStr">
        <is>
          <t>hrs/card/yr</t>
        </is>
      </c>
      <c r="G90" s="10" t="inlineStr">
        <is>
          <t>Meridian fact pack</t>
        </is>
      </c>
    </row>
    <row r="91">
      <c r="B91" s="8" t="inlineStr">
        <is>
          <t>Payments &amp; FX support</t>
        </is>
      </c>
      <c r="C91" s="20" t="n">
        <v>0.3</v>
      </c>
      <c r="D91" s="4" t="inlineStr">
        <is>
          <t>hrs/user/yr</t>
        </is>
      </c>
      <c r="G91" s="10" t="inlineStr">
        <is>
          <t>Meridian fact pack</t>
        </is>
      </c>
    </row>
    <row r="92">
      <c r="B92" s="8" t="inlineStr">
        <is>
          <t>Share of credit facilities entering collections p.a.</t>
        </is>
      </c>
      <c r="C92" s="12" t="n">
        <v>0.04</v>
      </c>
      <c r="D92" s="4" t="inlineStr">
        <is>
          <t>%</t>
        </is>
      </c>
      <c r="G92" s="10" t="inlineStr">
        <is>
          <t>Meridian fact pack</t>
        </is>
      </c>
    </row>
    <row r="93">
      <c r="B93" s="8" t="inlineStr">
        <is>
          <t>Collections handling</t>
        </is>
      </c>
      <c r="C93" s="20" t="n">
        <v>5</v>
      </c>
      <c r="D93" s="4" t="inlineStr">
        <is>
          <t>hrs/case</t>
        </is>
      </c>
      <c r="G93" s="10" t="inlineStr">
        <is>
          <t>Meridian fact pack</t>
        </is>
      </c>
    </row>
    <row r="94">
      <c r="B94" s="8" t="inlineStr">
        <is>
          <t>Collateral administration &amp; monitoring</t>
        </is>
      </c>
      <c r="C94" s="20" t="n">
        <v>0.8</v>
      </c>
      <c r="D94" s="4" t="inlineStr">
        <is>
          <t>hrs/secured facility/yr</t>
        </is>
      </c>
      <c r="G94" s="10" t="inlineStr">
        <is>
          <t>Meridian fact pack. INFERENCE: 'secured' = term loans only (LGD 30% implies security; OD 60% and cards 80% unsecured)</t>
        </is>
      </c>
    </row>
    <row r="95">
      <c r="B95" s="15" t="inlineStr">
        <is>
          <t>Recoveries &amp; workout (defaulted secured facilities)</t>
        </is>
      </c>
      <c r="C95" s="21" t="n">
        <v>8</v>
      </c>
      <c r="D95" s="4" t="inlineStr">
        <is>
          <t>hrs/case</t>
        </is>
      </c>
      <c r="E95" s="22" t="n">
        <v>4</v>
      </c>
      <c r="F95" s="22" t="n">
        <v>12</v>
      </c>
      <c r="G95" s="10" t="inlineStr">
        <is>
          <t>MISSING #2 (declared in fact pack). Central = reference model's assumption (8h/case); band 4–12h. Applied to term loans entering collections. Replace with Meridian recoveries MI.</t>
        </is>
      </c>
    </row>
    <row r="96">
      <c r="B96" s="8" t="inlineStr">
        <is>
          <t>Activity-cost band — low factor</t>
        </is>
      </c>
      <c r="C96" s="19" t="n">
        <v>0.8</v>
      </c>
      <c r="D96" s="4" t="inlineStr">
        <is>
          <t>x central</t>
        </is>
      </c>
      <c r="G96" s="10" t="inlineStr">
        <is>
          <t>Default range on activity costs pending evidence (reference-model discipline)</t>
        </is>
      </c>
    </row>
    <row r="97">
      <c r="B97" s="8" t="inlineStr">
        <is>
          <t>Activity-cost band — high factor</t>
        </is>
      </c>
      <c r="C97" s="19" t="n">
        <v>1.3</v>
      </c>
      <c r="D97" s="4" t="inlineStr">
        <is>
          <t>x central</t>
        </is>
      </c>
      <c r="G97" s="10" t="inlineStr">
        <is>
          <t>High side wider: activity times overrun more often than they underrun</t>
        </is>
      </c>
    </row>
    <row r="98">
      <c r="B98" s="5" t="inlineStr">
        <is>
          <t>G. OVERHEADS, HEAD-OFFICE POOLS &amp; DRIVER-BASED ATTRIBUTION</t>
        </is>
      </c>
      <c r="C98" s="6" t="inlineStr"/>
      <c r="D98" s="6" t="inlineStr"/>
      <c r="E98" s="6" t="inlineStr"/>
      <c r="F98" s="6" t="inlineStr"/>
      <c r="G98" s="6" t="inlineStr"/>
    </row>
    <row r="99">
      <c r="B99" s="7" t="inlineStr">
        <is>
          <t>Item</t>
        </is>
      </c>
      <c r="C99" s="7" t="inlineStr">
        <is>
          <t>Value</t>
        </is>
      </c>
      <c r="D99" s="7" t="inlineStr">
        <is>
          <t>Unit</t>
        </is>
      </c>
      <c r="E99" s="7" t="inlineStr">
        <is>
          <t>Low</t>
        </is>
      </c>
      <c r="F99" s="7" t="inlineStr">
        <is>
          <t>High</t>
        </is>
      </c>
      <c r="G99" s="7" t="inlineStr">
        <is>
          <t>Source / note</t>
        </is>
      </c>
    </row>
    <row r="100">
      <c r="B100" s="8" t="inlineStr">
        <is>
          <t>Premises per FTE</t>
        </is>
      </c>
      <c r="C100" s="14" t="n">
        <v>5500</v>
      </c>
      <c r="D100" s="4" t="inlineStr">
        <is>
          <t>£/FTE/yr</t>
        </is>
      </c>
      <c r="G100" s="10" t="inlineStr">
        <is>
          <t>Meridian fact pack</t>
        </is>
      </c>
    </row>
    <row r="101">
      <c r="B101" s="8" t="inlineStr">
        <is>
          <t>Depreciation per FTE</t>
        </is>
      </c>
      <c r="C101" s="14" t="n">
        <v>1000</v>
      </c>
      <c r="D101" s="4" t="inlineStr">
        <is>
          <t>£/FTE/yr</t>
        </is>
      </c>
      <c r="G101" s="10" t="inlineStr">
        <is>
          <t>Meridian fact pack</t>
        </is>
      </c>
    </row>
    <row r="102">
      <c r="B102" s="8" t="inlineStr">
        <is>
          <t>Other direct running costs</t>
        </is>
      </c>
      <c r="C102" s="12" t="n">
        <v>0.05</v>
      </c>
      <c r="D102" s="4" t="inlineStr">
        <is>
          <t>% of unit HR cost</t>
        </is>
      </c>
      <c r="G102" s="10" t="inlineStr">
        <is>
          <t>Meridian fact pack</t>
        </is>
      </c>
    </row>
    <row r="103">
      <c r="B103" s="8" t="inlineStr">
        <is>
          <t>Unit platform cost</t>
        </is>
      </c>
      <c r="C103" s="14" t="n">
        <v>50</v>
      </c>
      <c r="D103" s="4" t="inlineStr">
        <is>
          <t>£/customer/yr</t>
        </is>
      </c>
      <c r="G103" s="10" t="inlineStr">
        <is>
          <t>Meridian fact pack</t>
        </is>
      </c>
    </row>
    <row r="104">
      <c r="B104" s="8" t="inlineStr">
        <is>
          <t>Head office: technology</t>
        </is>
      </c>
      <c r="C104" s="14" t="n">
        <v>380</v>
      </c>
      <c r="D104" s="4" t="inlineStr">
        <is>
          <t>£/customer/yr</t>
        </is>
      </c>
      <c r="G104" s="10" t="inlineStr">
        <is>
          <t>Meridian fact pack</t>
        </is>
      </c>
    </row>
    <row r="105">
      <c r="B105" s="8" t="inlineStr">
        <is>
          <t>Head office: risk &amp; compliance</t>
        </is>
      </c>
      <c r="C105" s="14" t="n">
        <v>210</v>
      </c>
      <c r="D105" s="4" t="inlineStr">
        <is>
          <t>£/customer/yr</t>
        </is>
      </c>
      <c r="G105" s="10" t="inlineStr">
        <is>
          <t>Meridian fact pack</t>
        </is>
      </c>
    </row>
    <row r="106">
      <c r="B106" s="8" t="inlineStr">
        <is>
          <t>Head office: corporate centre</t>
        </is>
      </c>
      <c r="C106" s="14" t="n">
        <v>220</v>
      </c>
      <c r="D106" s="4" t="inlineStr">
        <is>
          <t>£/customer/yr</t>
        </is>
      </c>
      <c r="G106" s="10" t="inlineStr">
        <is>
          <t>Meridian fact pack</t>
        </is>
      </c>
    </row>
    <row r="107">
      <c r="B107" s="8" t="inlineStr">
        <is>
          <t>KYC onboarding — cost per new customer</t>
        </is>
      </c>
      <c r="C107" s="14" t="n">
        <v>120</v>
      </c>
      <c r="D107" s="4" t="inlineStr">
        <is>
          <t>£/new customer</t>
        </is>
      </c>
      <c r="G107" s="10" t="inlineStr">
        <is>
          <t>Meridian fact pack (driver: onboardings; from risk pool)</t>
        </is>
      </c>
    </row>
    <row r="108">
      <c r="B108" s="8" t="inlineStr">
        <is>
          <t>KYC refresh — cost per customer</t>
        </is>
      </c>
      <c r="C108" s="14" t="n">
        <v>50</v>
      </c>
      <c r="D108" s="4" t="inlineStr">
        <is>
          <t>£/customer/yr</t>
        </is>
      </c>
      <c r="G108" s="10" t="inlineStr">
        <is>
          <t>Meridian fact pack (driver: customers; from risk pool)</t>
        </is>
      </c>
    </row>
    <row r="109">
      <c r="B109" s="8" t="inlineStr">
        <is>
          <t>Payments processing — cost per BCA</t>
        </is>
      </c>
      <c r="C109" s="14" t="n">
        <v>100</v>
      </c>
      <c r="D109" s="4" t="inlineStr">
        <is>
          <t>£/BCA/yr</t>
        </is>
      </c>
      <c r="G109" s="10" t="inlineStr">
        <is>
          <t>Meridian fact pack (driver: current accounts; from tech pool)</t>
        </is>
      </c>
    </row>
    <row r="110">
      <c r="B110" s="8" t="inlineStr">
        <is>
          <t>Core banking — cost per account</t>
        </is>
      </c>
      <c r="C110" s="14" t="n">
        <v>25</v>
      </c>
      <c r="D110" s="4" t="inlineStr">
        <is>
          <t>£/account/yr</t>
        </is>
      </c>
      <c r="G110" s="10" t="inlineStr">
        <is>
          <t>Meridian fact pack (driver: accounts on ledger; from tech pool)</t>
        </is>
      </c>
    </row>
    <row r="111">
      <c r="B111" s="8" t="inlineStr">
        <is>
          <t>Credit systems — cost per facility</t>
        </is>
      </c>
      <c r="C111" s="14" t="n">
        <v>150</v>
      </c>
      <c r="D111" s="4" t="inlineStr">
        <is>
          <t>£/facility/yr</t>
        </is>
      </c>
      <c r="G111" s="10" t="inlineStr">
        <is>
          <t>Meridian fact pack (driver: live credit facilities; from tech pool)</t>
        </is>
      </c>
    </row>
    <row r="112">
      <c r="B112" s="8" t="inlineStr">
        <is>
          <t>Fraud &amp; APP losses per current account</t>
        </is>
      </c>
      <c r="C112" s="14" t="n">
        <v>38</v>
      </c>
      <c r="D112" s="4" t="inlineStr">
        <is>
          <t>£/BCA/yr</t>
        </is>
      </c>
      <c r="G112" s="10" t="inlineStr">
        <is>
          <t>Meridian fact pack (driver: current accounts)</t>
        </is>
      </c>
    </row>
    <row r="113">
      <c r="B113" s="8" t="inlineStr">
        <is>
          <t>FSCS deposit-protection levy</t>
        </is>
      </c>
      <c r="C113" s="9" t="n">
        <v>0.0005</v>
      </c>
      <c r="D113" s="4" t="inlineStr">
        <is>
          <t>% of protected deposits</t>
        </is>
      </c>
      <c r="G113" s="10" t="inlineStr">
        <is>
          <t>Meridian fact pack: 0.05%</t>
        </is>
      </c>
    </row>
    <row r="114">
      <c r="B114" s="8" t="inlineStr">
        <is>
          <t>Share of deposit balances FSCS-protected</t>
        </is>
      </c>
      <c r="C114" s="12" t="n">
        <v>0.55</v>
      </c>
      <c r="D114" s="4" t="inlineStr">
        <is>
          <t>%</t>
        </is>
      </c>
      <c r="G114" s="10" t="inlineStr">
        <is>
          <t>Meridian fact pack</t>
        </is>
      </c>
    </row>
    <row r="115">
      <c r="B115" s="8" t="inlineStr">
        <is>
          <t>Change-the-bank spend per customer</t>
        </is>
      </c>
      <c r="C115" s="14" t="n">
        <v>100</v>
      </c>
      <c r="D115" s="4" t="inlineStr">
        <is>
          <t>£/customer/yr</t>
        </is>
      </c>
      <c r="G115" s="10" t="inlineStr">
        <is>
          <t>Meridian fact pack; held as a portfolio hurdle, not attributed to products (reference-model treatment)</t>
        </is>
      </c>
    </row>
    <row r="116">
      <c r="B116" s="5" t="inlineStr">
        <is>
          <t>H. RM SYSTEM — ORIGINATE / STEWARD / DEFEND (time-split MISSING)</t>
        </is>
      </c>
      <c r="C116" s="6" t="inlineStr"/>
      <c r="D116" s="6" t="inlineStr"/>
      <c r="E116" s="6" t="inlineStr"/>
      <c r="F116" s="6" t="inlineStr"/>
      <c r="G116" s="6" t="inlineStr"/>
    </row>
    <row r="117">
      <c r="B117" s="7" t="inlineStr">
        <is>
          <t>Item</t>
        </is>
      </c>
      <c r="C117" s="7" t="inlineStr">
        <is>
          <t>Value</t>
        </is>
      </c>
      <c r="D117" s="7" t="inlineStr">
        <is>
          <t>Unit</t>
        </is>
      </c>
      <c r="E117" s="7" t="inlineStr">
        <is>
          <t>Low</t>
        </is>
      </c>
      <c r="F117" s="7" t="inlineStr">
        <is>
          <t>High</t>
        </is>
      </c>
      <c r="G117" s="7" t="inlineStr">
        <is>
          <t>Source / note</t>
        </is>
      </c>
    </row>
    <row r="118">
      <c r="B118" s="15" t="inlineStr">
        <is>
          <t>RM time — ORIGINATE (sales, attributed per origination)</t>
        </is>
      </c>
      <c r="C118" s="23" t="n">
        <v>0.5</v>
      </c>
      <c r="D118" s="4" t="inlineStr">
        <is>
          <t>% of RM time</t>
        </is>
      </c>
      <c r="E118" s="24" t="n">
        <v>0.4</v>
      </c>
      <c r="F118" s="24" t="n">
        <v>0.6</v>
      </c>
      <c r="G118" s="10" t="inlineStr">
        <is>
          <t>MISSING #3 (declared in fact pack: 'RM time-split between sales and stewardship'). Central = reference model's 50/30/20 split; band on the originate share 40–60%. Attribution-only — the split moves cost BETWEEN products, not the total P&amp;L.</t>
        </is>
      </c>
    </row>
    <row r="119">
      <c r="B119" s="15" t="inlineStr">
        <is>
          <t>RM time — STEWARD (credit stewardship of covered book)</t>
        </is>
      </c>
      <c r="C119" s="23" t="n">
        <v>0.3</v>
      </c>
      <c r="D119" s="4" t="inlineStr">
        <is>
          <t>% of RM time</t>
        </is>
      </c>
      <c r="G119" s="10" t="inlineStr">
        <is>
          <t>MISSING #3 companion — method default; shrinks/grows opposite the originate share</t>
        </is>
      </c>
    </row>
    <row r="120">
      <c r="B120" s="15" t="inlineStr">
        <is>
          <t>RM time — DEFEND (retention)</t>
        </is>
      </c>
      <c r="C120" s="23" t="n">
        <v>0.2</v>
      </c>
      <c r="D120" s="4" t="inlineStr">
        <is>
          <t>% of RM time</t>
        </is>
      </c>
      <c r="G120" s="10" t="inlineStr">
        <is>
          <t>MISSING #3 companion — held at centre level; the three shares must sum to 100%</t>
        </is>
      </c>
    </row>
    <row r="121">
      <c r="B121" s="8" t="inlineStr">
        <is>
          <t>Relative RM effort — per new term loan</t>
        </is>
      </c>
      <c r="C121" s="19" t="n">
        <v>1</v>
      </c>
      <c r="D121" s="4" t="inlineStr">
        <is>
          <t>index</t>
        </is>
      </c>
      <c r="G121" s="10" t="inlineStr">
        <is>
          <t>Method default (reference model); no Meridian evidence</t>
        </is>
      </c>
    </row>
    <row r="122">
      <c r="B122" s="8" t="inlineStr">
        <is>
          <t>Relative RM effort — per overdraft renewal</t>
        </is>
      </c>
      <c r="C122" s="19" t="n">
        <v>0.25</v>
      </c>
      <c r="D122" s="4" t="inlineStr">
        <is>
          <t>index</t>
        </is>
      </c>
      <c r="G122" s="10" t="inlineStr">
        <is>
          <t>Method default (reference model); no Meridian evidence</t>
        </is>
      </c>
    </row>
    <row r="123">
      <c r="B123" s="8" t="inlineStr">
        <is>
          <t>Stewardship effect: PD reduction on RM-covered balances</t>
        </is>
      </c>
      <c r="C123" s="12" t="n">
        <v>0</v>
      </c>
      <c r="D123" s="4" t="inlineStr">
        <is>
          <t>%</t>
        </is>
      </c>
      <c r="G123" s="10" t="inlineStr">
        <is>
          <t>SET TO ZERO: the reference model claims a stewardship PD benefit only with holdout evidence; Meridian has none, so costs are kept but benefits are not claimed</t>
        </is>
      </c>
    </row>
    <row r="124">
      <c r="B124" s="8" t="inlineStr">
        <is>
          <t>Defence effect: churn reduction among RM-managed customers</t>
        </is>
      </c>
      <c r="C124" s="12" t="n">
        <v>0</v>
      </c>
      <c r="D124" s="4" t="inlineStr">
        <is>
          <t>%</t>
        </is>
      </c>
      <c r="G124" s="10" t="inlineStr">
        <is>
          <t>SET TO ZERO: no holdout evidence in the fact pack — gross churn drives onboarding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6" customWidth="1" min="4" max="4"/>
    <col width="16" customWidth="1" min="5" max="5"/>
    <col width="62" customWidth="1" min="6" max="6"/>
  </cols>
  <sheetData>
    <row r="1">
      <c r="B1" s="1" t="inlineStr">
        <is>
          <t>STEP 1 — BOUNDING THE OPERATING UNIT</t>
        </is>
      </c>
    </row>
    <row r="2" ht="28" customHeight="1">
      <c r="B2" s="10" t="inlineStr">
        <is>
          <t>The unit is Meridian's Business Banking segment: 45,000 customers, bounded by customer segment (12% relationship-managed at 90/RM; the mass served digitally). Modelled whole — no geographic slice needed.</t>
        </is>
      </c>
    </row>
    <row r="4">
      <c r="B4" s="25" t="inlineStr">
        <is>
          <t>Customers at steady state (R × P)</t>
        </is>
      </c>
      <c r="C4" s="26">
        <f>'Inputs'!$C$17*'Inputs'!$C$18</f>
        <v/>
      </c>
      <c r="E4" s="4" t="inlineStr">
        <is>
          <t>300,000 × 15% = 45,000 (fact pack)</t>
        </is>
      </c>
    </row>
    <row r="5">
      <c r="B5" s="8" t="inlineStr">
        <is>
          <t>…of which relationship-managed</t>
        </is>
      </c>
      <c r="C5" s="27">
        <f>'1. Customers'!$C$4*'Inputs'!$C$20</f>
        <v/>
      </c>
    </row>
    <row r="6">
      <c r="B6" s="25" t="inlineStr">
        <is>
          <t>New customers onboarded per year (churn replacement)</t>
        </is>
      </c>
      <c r="C6" s="28">
        <f>'1. Customers'!$C$4*'Inputs'!$C$19</f>
        <v/>
      </c>
      <c r="E6" s="4" t="inlineStr">
        <is>
          <t>Defence effect held at 0 (no evidence) — gross churn drives onboarding &amp; KYC</t>
        </is>
      </c>
    </row>
    <row r="8">
      <c r="B8" s="5" t="inlineStr">
        <is>
          <t>PRODUCT VOLUMES &amp; BALANCES</t>
        </is>
      </c>
      <c r="C8" s="6" t="inlineStr"/>
      <c r="D8" s="6" t="inlineStr"/>
      <c r="E8" s="6" t="inlineStr"/>
      <c r="F8" s="6" t="inlineStr"/>
    </row>
    <row r="9">
      <c r="B9" s="29" t="inlineStr">
        <is>
          <t>Product</t>
        </is>
      </c>
      <c r="C9" s="29" t="inlineStr">
        <is>
          <t>Units</t>
        </is>
      </c>
      <c r="D9" s="29" t="inlineStr">
        <is>
          <t>Avg balance per unit (£)</t>
        </is>
      </c>
      <c r="E9" s="29" t="inlineStr">
        <is>
          <t>Total balances (£)</t>
        </is>
      </c>
      <c r="F9" s="29" t="inlineStr">
        <is>
          <t>Note</t>
        </is>
      </c>
    </row>
    <row r="10">
      <c r="B10" s="8" t="inlineStr">
        <is>
          <t>Business current accounts</t>
        </is>
      </c>
      <c r="C10" s="27">
        <f>'1. Customers'!$C$4*'Inputs'!$C$24</f>
        <v/>
      </c>
      <c r="D10" s="30">
        <f>'Inputs'!$C$25</f>
        <v/>
      </c>
      <c r="E10" s="30">
        <f>C10*D10</f>
        <v/>
      </c>
      <c r="F10" s="4" t="inlineStr">
        <is>
          <t>Credit balances held</t>
        </is>
      </c>
    </row>
    <row r="11">
      <c r="B11" s="8" t="inlineStr">
        <is>
          <t>Instant-access savings</t>
        </is>
      </c>
      <c r="C11" s="27">
        <f>'1. Customers'!$C$4*'Inputs'!$C$26</f>
        <v/>
      </c>
      <c r="D11" s="30">
        <f>'Inputs'!$C$27</f>
        <v/>
      </c>
      <c r="E11" s="30">
        <f>C11*D11</f>
        <v/>
      </c>
      <c r="F11" s="4" t="inlineStr"/>
    </row>
    <row r="12">
      <c r="B12" s="8" t="inlineStr">
        <is>
          <t>Fixed deposits (1yr)</t>
        </is>
      </c>
      <c r="C12" s="27">
        <f>'1. Customers'!$C$4*'Inputs'!$C$28</f>
        <v/>
      </c>
      <c r="D12" s="30">
        <f>'Inputs'!$C$29</f>
        <v/>
      </c>
      <c r="E12" s="30">
        <f>C12*D12</f>
        <v/>
      </c>
      <c r="F12" s="4" t="inlineStr"/>
    </row>
    <row r="13">
      <c r="B13" s="8" t="inlineStr">
        <is>
          <t>Business overdrafts</t>
        </is>
      </c>
      <c r="C13" s="27">
        <f>'1. Customers'!$C$4*'Inputs'!$C$33</f>
        <v/>
      </c>
      <c r="D13" s="30">
        <f>'Inputs'!$C$34*'Inputs'!$C$35</f>
        <v/>
      </c>
      <c r="E13" s="30">
        <f>C13*D13</f>
        <v/>
      </c>
      <c r="F13" s="4" t="inlineStr">
        <is>
          <t>Balance = limit × utilisation (drawn)</t>
        </is>
      </c>
    </row>
    <row r="14">
      <c r="B14" s="8" t="inlineStr">
        <is>
          <t>Term loans</t>
        </is>
      </c>
      <c r="C14" s="27">
        <f>'1. Customers'!$C$4*'Inputs'!$C$30</f>
        <v/>
      </c>
      <c r="D14" s="30">
        <f>'Inputs'!$C$31</f>
        <v/>
      </c>
      <c r="E14" s="30">
        <f>C14*D14</f>
        <v/>
      </c>
      <c r="F14" s="4" t="inlineStr"/>
    </row>
    <row r="15">
      <c r="B15" s="8" t="inlineStr">
        <is>
          <t>Business credit cards</t>
        </is>
      </c>
      <c r="C15" s="27">
        <f>'1. Customers'!$C$4*'Inputs'!$C$36</f>
        <v/>
      </c>
      <c r="D15" s="30">
        <f>'Inputs'!$C$39*'Inputs'!$C$38</f>
        <v/>
      </c>
      <c r="E15" s="30">
        <f>C15*D15</f>
        <v/>
      </c>
      <c r="F15" s="4" t="inlineStr">
        <is>
          <t>Avg interest-bearing balance per card</t>
        </is>
      </c>
    </row>
    <row r="16">
      <c r="B16" s="8" t="inlineStr">
        <is>
          <t>Payments &amp; FX (service users)</t>
        </is>
      </c>
      <c r="C16" s="27">
        <f>'1. Customers'!$C$4*'Inputs'!$C$40</f>
        <v/>
      </c>
      <c r="D16" s="30">
        <f>0</f>
        <v/>
      </c>
      <c r="E16" s="30">
        <f>C16*D16</f>
        <v/>
      </c>
      <c r="F16" s="4" t="inlineStr">
        <is>
          <t>No balance product</t>
        </is>
      </c>
    </row>
    <row r="17">
      <c r="B17" s="25" t="inlineStr">
        <is>
          <t>Total customer deposits</t>
        </is>
      </c>
      <c r="E17" s="31">
        <f>'1. Customers'!$E$10+'1. Customers'!$E$11+'1. Customers'!$E$12</f>
        <v/>
      </c>
    </row>
    <row r="18">
      <c r="B18" s="25" t="inlineStr">
        <is>
          <t>Total lending balances (drawn)</t>
        </is>
      </c>
      <c r="E18" s="31">
        <f>'1. Customers'!$E$13+'1. Customers'!$E$14+'1. Customers'!$E$15</f>
        <v/>
      </c>
    </row>
    <row r="19">
      <c r="D19" s="32">
        <f>'1. Customers'!$E$18/'1. Customers'!$E$17</f>
        <v/>
      </c>
      <c r="E19" s="4" t="inlineStr">
        <is>
          <t>Loan-to-deposit ratio:</t>
        </is>
      </c>
    </row>
    <row r="20">
      <c r="B20" s="25" t="inlineStr">
        <is>
          <t>Total accounts on ledger (excl. FX users)</t>
        </is>
      </c>
      <c r="C20" s="28">
        <f>'1. Customers'!$C$10+'1. Customers'!$C$11+'1. Customers'!$C$12+'1. Customers'!$C$13+'1. Customers'!$C$14+'1. Customers'!$C$15</f>
        <v/>
      </c>
      <c r="E20" s="4" t="inlineStr">
        <is>
          <t>Driver for core banking cost (£25/account)</t>
        </is>
      </c>
    </row>
    <row r="21">
      <c r="B21" s="25" t="inlineStr">
        <is>
          <t>Total live credit facilities</t>
        </is>
      </c>
      <c r="C21" s="28">
        <f>'1. Customers'!$C$13+'1. Customers'!$C$14+'1. Customers'!$C$15</f>
        <v/>
      </c>
      <c r="E21" s="4" t="inlineStr">
        <is>
          <t>Driver for credit systems cost (£150/facility) and collections volume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0" customWidth="1" min="3" max="3"/>
    <col width="13" customWidth="1" min="4" max="4"/>
    <col width="10" customWidth="1" min="5" max="5"/>
    <col width="10" customWidth="1" min="6" max="6"/>
    <col width="9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</cols>
  <sheetData>
    <row r="1">
      <c r="B1" s="1" t="inlineStr">
        <is>
          <t>PRODUCT REVENUES — UNIT AND TOTAL</t>
        </is>
      </c>
    </row>
    <row r="2">
      <c r="B2" s="4" t="inlineStr">
        <is>
          <t>Margins vs internal funds transfer prices. Stable deposits (BCA + instant savings) credited the liquidity-adjusted FTP; fixed deposits the term FTP less liquidity charge.</t>
        </is>
      </c>
    </row>
    <row r="4">
      <c r="B4" s="29" t="inlineStr">
        <is>
          <t>Product</t>
        </is>
      </c>
      <c r="C4" s="29" t="inlineStr">
        <is>
          <t>Units</t>
        </is>
      </c>
      <c r="D4" s="29" t="inlineStr">
        <is>
          <t>Avg balance /unit</t>
        </is>
      </c>
      <c r="E4" s="29" t="inlineStr">
        <is>
          <t>Customer rate</t>
        </is>
      </c>
      <c r="F4" s="29" t="inlineStr">
        <is>
          <t>FTP rate</t>
        </is>
      </c>
      <c r="G4" s="29" t="inlineStr">
        <is>
          <t>Margin %</t>
        </is>
      </c>
      <c r="H4" s="29" t="inlineStr">
        <is>
          <t>NII per unit</t>
        </is>
      </c>
      <c r="I4" s="29" t="inlineStr">
        <is>
          <t>Fees per unit</t>
        </is>
      </c>
      <c r="J4" s="29" t="inlineStr">
        <is>
          <t>Revenue per unit</t>
        </is>
      </c>
      <c r="K4" s="29" t="inlineStr">
        <is>
          <t>Total NII (£)</t>
        </is>
      </c>
      <c r="L4" s="29" t="inlineStr">
        <is>
          <t>Total fees (£)</t>
        </is>
      </c>
      <c r="M4" s="29" t="inlineStr">
        <is>
          <t>Total revenue (£)</t>
        </is>
      </c>
    </row>
    <row r="5">
      <c r="B5" s="8" t="inlineStr">
        <is>
          <t>Business current accounts</t>
        </is>
      </c>
      <c r="C5" s="33">
        <f>'1. Customers'!$C$10</f>
        <v/>
      </c>
      <c r="D5" s="34">
        <f>'1. Customers'!$D$10</f>
        <v/>
      </c>
      <c r="E5" s="11">
        <f>'Inputs'!$C$45</f>
        <v/>
      </c>
      <c r="F5" s="11">
        <f>'Inputs'!$C$13</f>
        <v/>
      </c>
      <c r="G5" s="11">
        <f>F5-E5</f>
        <v/>
      </c>
      <c r="H5" s="30">
        <f>D5*G5</f>
        <v/>
      </c>
      <c r="I5" s="30">
        <f>12*'Inputs'!$C$46+'Inputs'!$C$47</f>
        <v/>
      </c>
      <c r="J5" s="35">
        <f>H5+I5</f>
        <v/>
      </c>
      <c r="K5" s="30">
        <f>H5*C5</f>
        <v/>
      </c>
      <c r="L5" s="30">
        <f>I5*C5</f>
        <v/>
      </c>
      <c r="M5" s="35">
        <f>J5*C5</f>
        <v/>
      </c>
    </row>
    <row r="6">
      <c r="B6" s="8" t="inlineStr">
        <is>
          <t>Instant-access savings</t>
        </is>
      </c>
      <c r="C6" s="33">
        <f>'1. Customers'!$C$11</f>
        <v/>
      </c>
      <c r="D6" s="34">
        <f>'1. Customers'!$D$11</f>
        <v/>
      </c>
      <c r="E6" s="11">
        <f>'Inputs'!$C$48</f>
        <v/>
      </c>
      <c r="F6" s="11">
        <f>'Inputs'!$C$13</f>
        <v/>
      </c>
      <c r="G6" s="11">
        <f>F6-E6</f>
        <v/>
      </c>
      <c r="H6" s="30">
        <f>D6*G6</f>
        <v/>
      </c>
      <c r="I6" s="30">
        <f>0</f>
        <v/>
      </c>
      <c r="J6" s="35">
        <f>H6+I6</f>
        <v/>
      </c>
      <c r="K6" s="30">
        <f>H6*C6</f>
        <v/>
      </c>
      <c r="L6" s="30">
        <f>I6*C6</f>
        <v/>
      </c>
      <c r="M6" s="35">
        <f>J6*C6</f>
        <v/>
      </c>
    </row>
    <row r="7">
      <c r="B7" s="8" t="inlineStr">
        <is>
          <t>Fixed deposits (1yr)</t>
        </is>
      </c>
      <c r="C7" s="33">
        <f>'1. Customers'!$C$12</f>
        <v/>
      </c>
      <c r="D7" s="34">
        <f>'1. Customers'!$D$12</f>
        <v/>
      </c>
      <c r="E7" s="11">
        <f>'Inputs'!$C$49</f>
        <v/>
      </c>
      <c r="F7" s="11">
        <f>'Inputs'!$C$14</f>
        <v/>
      </c>
      <c r="G7" s="11">
        <f>F7-E7</f>
        <v/>
      </c>
      <c r="H7" s="30">
        <f>D7*G7</f>
        <v/>
      </c>
      <c r="I7" s="30">
        <f>0</f>
        <v/>
      </c>
      <c r="J7" s="35">
        <f>H7+I7</f>
        <v/>
      </c>
      <c r="K7" s="30">
        <f>H7*C7</f>
        <v/>
      </c>
      <c r="L7" s="30">
        <f>I7*C7</f>
        <v/>
      </c>
      <c r="M7" s="35">
        <f>J7*C7</f>
        <v/>
      </c>
    </row>
    <row r="8">
      <c r="B8" s="8" t="inlineStr">
        <is>
          <t>Business overdrafts</t>
        </is>
      </c>
      <c r="C8" s="33">
        <f>'1. Customers'!$C$13</f>
        <v/>
      </c>
      <c r="D8" s="34">
        <f>'1. Customers'!$D$13</f>
        <v/>
      </c>
      <c r="E8" s="11">
        <f>'Inputs'!$C$52</f>
        <v/>
      </c>
      <c r="F8" s="11">
        <f>'Inputs'!$C$8</f>
        <v/>
      </c>
      <c r="G8" s="11">
        <f>E8-F8</f>
        <v/>
      </c>
      <c r="H8" s="30">
        <f>D8*G8</f>
        <v/>
      </c>
      <c r="I8" s="30">
        <f>'Inputs'!$C$53*'Inputs'!$C$34</f>
        <v/>
      </c>
      <c r="J8" s="35">
        <f>H8+I8</f>
        <v/>
      </c>
      <c r="K8" s="30">
        <f>H8*C8</f>
        <v/>
      </c>
      <c r="L8" s="30">
        <f>I8*C8</f>
        <v/>
      </c>
      <c r="M8" s="35">
        <f>J8*C8</f>
        <v/>
      </c>
    </row>
    <row r="9">
      <c r="B9" s="8" t="inlineStr">
        <is>
          <t>Term loans</t>
        </is>
      </c>
      <c r="C9" s="33">
        <f>'1. Customers'!$C$14</f>
        <v/>
      </c>
      <c r="D9" s="34">
        <f>'1. Customers'!$D$14</f>
        <v/>
      </c>
      <c r="E9" s="11">
        <f>'Inputs'!$C$50</f>
        <v/>
      </c>
      <c r="F9" s="11">
        <f>'Inputs'!$C$9</f>
        <v/>
      </c>
      <c r="G9" s="11">
        <f>E9-F9</f>
        <v/>
      </c>
      <c r="H9" s="30">
        <f>D9*G9</f>
        <v/>
      </c>
      <c r="I9" s="30">
        <f>'Inputs'!$C$51*'Inputs'!$C$31/'Inputs'!$C$32</f>
        <v/>
      </c>
      <c r="J9" s="35">
        <f>H9+I9</f>
        <v/>
      </c>
      <c r="K9" s="30">
        <f>H9*C9</f>
        <v/>
      </c>
      <c r="L9" s="30">
        <f>I9*C9</f>
        <v/>
      </c>
      <c r="M9" s="35">
        <f>J9*C9</f>
        <v/>
      </c>
    </row>
    <row r="10">
      <c r="B10" s="8" t="inlineStr">
        <is>
          <t>Business credit cards</t>
        </is>
      </c>
      <c r="C10" s="33">
        <f>'1. Customers'!$C$15</f>
        <v/>
      </c>
      <c r="D10" s="34">
        <f>'1. Customers'!$D$15</f>
        <v/>
      </c>
      <c r="E10" s="11">
        <f>'Inputs'!$C$54</f>
        <v/>
      </c>
      <c r="F10" s="11">
        <f>'Inputs'!$C$8</f>
        <v/>
      </c>
      <c r="G10" s="11">
        <f>E10-F10</f>
        <v/>
      </c>
      <c r="H10" s="30">
        <f>D10*G10</f>
        <v/>
      </c>
      <c r="I10" s="30">
        <f>'Inputs'!$C$56*'Inputs'!$C$37*12+'Inputs'!$C$55</f>
        <v/>
      </c>
      <c r="J10" s="35">
        <f>H10+I10</f>
        <v/>
      </c>
      <c r="K10" s="30">
        <f>H10*C10</f>
        <v/>
      </c>
      <c r="L10" s="30">
        <f>I10*C10</f>
        <v/>
      </c>
      <c r="M10" s="35">
        <f>J10*C10</f>
        <v/>
      </c>
    </row>
    <row r="11">
      <c r="B11" s="8" t="inlineStr">
        <is>
          <t>Payments &amp; FX</t>
        </is>
      </c>
      <c r="C11" s="33">
        <f>'1. Customers'!$C$16</f>
        <v/>
      </c>
      <c r="D11" s="34">
        <f>'1. Customers'!$D$16</f>
        <v/>
      </c>
      <c r="E11" s="11">
        <f>0</f>
        <v/>
      </c>
      <c r="F11" s="11">
        <f>0</f>
        <v/>
      </c>
      <c r="G11" s="11">
        <f>0</f>
        <v/>
      </c>
      <c r="H11" s="30">
        <f>D11*G11</f>
        <v/>
      </c>
      <c r="I11" s="30">
        <f>'Inputs'!$C$41*'Inputs'!$C$57+'Inputs'!$C$42*'Inputs'!$C$58</f>
        <v/>
      </c>
      <c r="J11" s="35">
        <f>H11+I11</f>
        <v/>
      </c>
      <c r="K11" s="30">
        <f>H11*C11</f>
        <v/>
      </c>
      <c r="L11" s="30">
        <f>I11*C11</f>
        <v/>
      </c>
      <c r="M11" s="35">
        <f>J11*C11</f>
        <v/>
      </c>
    </row>
    <row r="12">
      <c r="B12" s="36" t="inlineStr">
        <is>
          <t>TOTAL</t>
        </is>
      </c>
      <c r="K12" s="31">
        <f>SUM(K5:K11)</f>
        <v/>
      </c>
      <c r="L12" s="31">
        <f>SUM(L5:L11)</f>
        <v/>
      </c>
      <c r="M12" s="31">
        <f>SUM(M5:M11)</f>
        <v/>
      </c>
    </row>
    <row r="14">
      <c r="B14" s="4" t="inlineStr">
        <is>
          <t>Memo — liquidity charge inside deposit NII (deposits × buffer × drag):</t>
        </is>
      </c>
      <c r="D14" s="30">
        <f>-'1. Customers'!$E$17*'Inputs'!$C$10*'Inputs'!$C$11</f>
        <v/>
      </c>
    </row>
    <row r="15">
      <c r="B15" s="4" t="inlineStr">
        <is>
          <t>Memo — behavioural deposit credit inside deposit NII (stable balances × credit):</t>
        </is>
      </c>
      <c r="D15" s="30">
        <f>('1. Customers'!$E$10+'1. Customers'!$E$11)*'Inputs'!$C$12</f>
        <v/>
      </c>
    </row>
    <row r="16">
      <c r="B16" s="10" t="inlineStr">
        <is>
          <t>FINDING: fixed deposits at 4.30% vs term FTP net of liquidity charge earn a NEGATIVE margin — priced above their internal funding value.</t>
        </is>
      </c>
    </row>
  </sheetData>
  <mergeCells count="1">
    <mergeCell ref="B16:M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8" customWidth="1" min="2" max="2"/>
    <col width="10" customWidth="1" min="3" max="3"/>
    <col width="2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3" customWidth="1" min="10" max="10"/>
    <col width="13" customWidth="1" min="11" max="11"/>
  </cols>
  <sheetData>
    <row r="1">
      <c r="B1" s="1" t="inlineStr">
        <is>
          <t>STEP 2 — RUNNING COSTS: PEOPLE FROM ACTIVITY DRIVERS</t>
        </is>
      </c>
    </row>
    <row r="2">
      <c r="B2" s="4" t="inlineStr">
        <is>
          <t>Every FTE derived from transaction intensity (I) and customer load (L) — no headcount assumed directly. Every activity carries a named volume driver; no '% of revenue' ratios.</t>
        </is>
      </c>
    </row>
    <row r="4">
      <c r="B4" s="8" t="inlineStr">
        <is>
          <t>Available hours per FTE per year</t>
        </is>
      </c>
      <c r="C4" s="27">
        <f>'Inputs'!$C$76*12</f>
        <v/>
      </c>
      <c r="E4" s="4" t="inlineStr">
        <is>
          <t>150 hrs/month × 12</t>
        </is>
      </c>
    </row>
    <row r="5">
      <c r="B5" s="8" t="inlineStr">
        <is>
          <t>Loaded hourly rate — credit analyst</t>
        </is>
      </c>
      <c r="C5" s="37">
        <f>'Inputs'!$C$78*(1+'Inputs'!$C$81)/'3. HR &amp; Activity'!$C$4</f>
        <v/>
      </c>
    </row>
    <row r="6">
      <c r="B6" s="8" t="inlineStr">
        <is>
          <t>Loaded hourly rate — service &amp; ops</t>
        </is>
      </c>
      <c r="C6" s="37">
        <f>'Inputs'!$C$79*(1+'Inputs'!$C$81)/'3. HR &amp; Activity'!$C$4</f>
        <v/>
      </c>
    </row>
    <row r="8">
      <c r="B8" s="5" t="inlineStr">
        <is>
          <t>ACTIVITY DRIVER TABLE (transaction intensity, I)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B9" s="29" t="inlineStr">
        <is>
          <t>Activity</t>
        </is>
      </c>
      <c r="C9" s="29" t="inlineStr">
        <is>
          <t>Product</t>
        </is>
      </c>
      <c r="D9" s="29" t="inlineStr">
        <is>
          <t>Role</t>
        </is>
      </c>
      <c r="E9" s="29" t="inlineStr">
        <is>
          <t>Driver volume /yr</t>
        </is>
      </c>
      <c r="F9" s="29" t="inlineStr">
        <is>
          <t>Hours per</t>
        </is>
      </c>
      <c r="G9" s="29" t="inlineStr">
        <is>
          <t>Total hours /yr</t>
        </is>
      </c>
      <c r="H9" s="29" t="inlineStr">
        <is>
          <t>Cost (£/yr)</t>
        </is>
      </c>
      <c r="I9" s="29" t="inlineStr">
        <is>
          <t>Flow (tab 8)</t>
        </is>
      </c>
      <c r="J9" s="29" t="inlineStr">
        <is>
          <t>Cost low (£/yr)</t>
        </is>
      </c>
      <c r="K9" s="29" t="inlineStr">
        <is>
          <t>Cost high (£/yr)</t>
        </is>
      </c>
    </row>
    <row r="10">
      <c r="B10" s="8" t="inlineStr">
        <is>
          <t>Customer onboarding (KYC/AML, setup)</t>
        </is>
      </c>
      <c r="C10" s="38" t="inlineStr">
        <is>
          <t>bca</t>
        </is>
      </c>
      <c r="D10" s="8" t="inlineStr">
        <is>
          <t>Service &amp; ops</t>
        </is>
      </c>
      <c r="E10" s="27">
        <f>'1. Customers'!$C$6</f>
        <v/>
      </c>
      <c r="F10" s="39">
        <f>'Inputs'!$C$83</f>
        <v/>
      </c>
      <c r="G10" s="27">
        <f>E10*F10</f>
        <v/>
      </c>
      <c r="H10" s="30">
        <f>G10*'3. HR &amp; Activity'!$C$6</f>
        <v/>
      </c>
      <c r="I10" s="38" t="inlineStr">
        <is>
          <t>CA-WP</t>
        </is>
      </c>
      <c r="J10" s="30">
        <f>H10*'Inputs'!$C$96</f>
        <v/>
      </c>
      <c r="K10" s="30">
        <f>H10*'Inputs'!$C$97</f>
        <v/>
      </c>
    </row>
    <row r="11">
      <c r="B11" s="8" t="inlineStr">
        <is>
          <t>Current account servicing</t>
        </is>
      </c>
      <c r="C11" s="38" t="inlineStr">
        <is>
          <t>bca</t>
        </is>
      </c>
      <c r="D11" s="8" t="inlineStr">
        <is>
          <t>Service &amp; ops</t>
        </is>
      </c>
      <c r="E11" s="27">
        <f>'1. Customers'!$C$10</f>
        <v/>
      </c>
      <c r="F11" s="39">
        <f>'Inputs'!$C$84</f>
        <v/>
      </c>
      <c r="G11" s="27">
        <f>E11*F11</f>
        <v/>
      </c>
      <c r="H11" s="30">
        <f>G11*'3. HR &amp; Activity'!$C$6</f>
        <v/>
      </c>
      <c r="I11" s="38" t="inlineStr">
        <is>
          <t>CA-WP</t>
        </is>
      </c>
      <c r="J11" s="30">
        <f>H11*'Inputs'!$C$96</f>
        <v/>
      </c>
      <c r="K11" s="30">
        <f>H11*'Inputs'!$C$97</f>
        <v/>
      </c>
    </row>
    <row r="12">
      <c r="B12" s="8" t="inlineStr">
        <is>
          <t>Instant savings servicing</t>
        </is>
      </c>
      <c r="C12" s="38" t="inlineStr">
        <is>
          <t>sav</t>
        </is>
      </c>
      <c r="D12" s="8" t="inlineStr">
        <is>
          <t>Service &amp; ops</t>
        </is>
      </c>
      <c r="E12" s="27">
        <f>'1. Customers'!$C$11</f>
        <v/>
      </c>
      <c r="F12" s="39">
        <f>'Inputs'!$C$85</f>
        <v/>
      </c>
      <c r="G12" s="27">
        <f>E12*F12</f>
        <v/>
      </c>
      <c r="H12" s="30">
        <f>G12*'3. HR &amp; Activity'!$C$6</f>
        <v/>
      </c>
      <c r="I12" s="38" t="inlineStr">
        <is>
          <t>SV-WP</t>
        </is>
      </c>
      <c r="J12" s="30">
        <f>H12*'Inputs'!$C$96</f>
        <v/>
      </c>
      <c r="K12" s="30">
        <f>H12*'Inputs'!$C$97</f>
        <v/>
      </c>
    </row>
    <row r="13">
      <c r="B13" s="8" t="inlineStr">
        <is>
          <t>Fixed deposit servicing</t>
        </is>
      </c>
      <c r="C13" s="38" t="inlineStr">
        <is>
          <t>dep</t>
        </is>
      </c>
      <c r="D13" s="8" t="inlineStr">
        <is>
          <t>Service &amp; ops</t>
        </is>
      </c>
      <c r="E13" s="27">
        <f>'1. Customers'!$C$12</f>
        <v/>
      </c>
      <c r="F13" s="39">
        <f>'Inputs'!$C$86</f>
        <v/>
      </c>
      <c r="G13" s="27">
        <f>E13*F13</f>
        <v/>
      </c>
      <c r="H13" s="30">
        <f>G13*'3. HR &amp; Activity'!$C$6</f>
        <v/>
      </c>
      <c r="I13" s="38" t="inlineStr">
        <is>
          <t>SV-WP</t>
        </is>
      </c>
      <c r="J13" s="30">
        <f>H13*'Inputs'!$C$96</f>
        <v/>
      </c>
      <c r="K13" s="30">
        <f>H13*'Inputs'!$C$97</f>
        <v/>
      </c>
    </row>
    <row r="14">
      <c r="B14" s="8" t="inlineStr">
        <is>
          <t>Overdraft reviews &amp; renewals</t>
        </is>
      </c>
      <c r="C14" s="38" t="inlineStr">
        <is>
          <t>od</t>
        </is>
      </c>
      <c r="D14" s="8" t="inlineStr">
        <is>
          <t>Credit analyst</t>
        </is>
      </c>
      <c r="E14" s="27">
        <f>'1. Customers'!$C$13</f>
        <v/>
      </c>
      <c r="F14" s="39">
        <f>'Inputs'!$C$89</f>
        <v/>
      </c>
      <c r="G14" s="27">
        <f>E14*F14</f>
        <v/>
      </c>
      <c r="H14" s="30">
        <f>G14*'3. HR &amp; Activity'!$C$5</f>
        <v/>
      </c>
      <c r="I14" s="38" t="inlineStr">
        <is>
          <t>LN-WP</t>
        </is>
      </c>
      <c r="J14" s="30">
        <f>H14*'Inputs'!$C$96</f>
        <v/>
      </c>
      <c r="K14" s="30">
        <f>H14*'Inputs'!$C$97</f>
        <v/>
      </c>
    </row>
    <row r="15">
      <c r="B15" s="8" t="inlineStr">
        <is>
          <t>Term loan underwriting (new loans)</t>
        </is>
      </c>
      <c r="C15" s="38" t="inlineStr">
        <is>
          <t>loan</t>
        </is>
      </c>
      <c r="D15" s="8" t="inlineStr">
        <is>
          <t>Credit analyst</t>
        </is>
      </c>
      <c r="E15" s="27">
        <f>'1. Customers'!$C$14/'Inputs'!$C$32</f>
        <v/>
      </c>
      <c r="F15" s="39">
        <f>'Inputs'!$C$87</f>
        <v/>
      </c>
      <c r="G15" s="27">
        <f>E15*F15</f>
        <v/>
      </c>
      <c r="H15" s="30">
        <f>G15*'3. HR &amp; Activity'!$C$5</f>
        <v/>
      </c>
      <c r="I15" s="38" t="inlineStr">
        <is>
          <t>LN-WP</t>
        </is>
      </c>
      <c r="J15" s="30">
        <f>H15*'Inputs'!$C$96</f>
        <v/>
      </c>
      <c r="K15" s="30">
        <f>H15*'Inputs'!$C$97</f>
        <v/>
      </c>
    </row>
    <row r="16">
      <c r="B16" s="8" t="inlineStr">
        <is>
          <t>Term loan annual reviews</t>
        </is>
      </c>
      <c r="C16" s="38" t="inlineStr">
        <is>
          <t>loan</t>
        </is>
      </c>
      <c r="D16" s="8" t="inlineStr">
        <is>
          <t>Credit analyst</t>
        </is>
      </c>
      <c r="E16" s="27">
        <f>'1. Customers'!$C$14</f>
        <v/>
      </c>
      <c r="F16" s="39">
        <f>'Inputs'!$C$88</f>
        <v/>
      </c>
      <c r="G16" s="27">
        <f>E16*F16</f>
        <v/>
      </c>
      <c r="H16" s="30">
        <f>G16*'3. HR &amp; Activity'!$C$5</f>
        <v/>
      </c>
      <c r="I16" s="38" t="inlineStr">
        <is>
          <t>LN-WP</t>
        </is>
      </c>
      <c r="J16" s="30">
        <f>H16*'Inputs'!$C$96</f>
        <v/>
      </c>
      <c r="K16" s="30">
        <f>H16*'Inputs'!$C$97</f>
        <v/>
      </c>
    </row>
    <row r="17">
      <c r="B17" s="8" t="inlineStr">
        <is>
          <t>Card servicing</t>
        </is>
      </c>
      <c r="C17" s="38" t="inlineStr">
        <is>
          <t>card</t>
        </is>
      </c>
      <c r="D17" s="8" t="inlineStr">
        <is>
          <t>Service &amp; ops</t>
        </is>
      </c>
      <c r="E17" s="27">
        <f>'1. Customers'!$C$15</f>
        <v/>
      </c>
      <c r="F17" s="39">
        <f>'Inputs'!$C$90</f>
        <v/>
      </c>
      <c r="G17" s="27">
        <f>E17*F17</f>
        <v/>
      </c>
      <c r="H17" s="30">
        <f>G17*'3. HR &amp; Activity'!$C$6</f>
        <v/>
      </c>
      <c r="I17" s="38" t="inlineStr">
        <is>
          <t>CC-WP</t>
        </is>
      </c>
      <c r="J17" s="30">
        <f>H17*'Inputs'!$C$96</f>
        <v/>
      </c>
      <c r="K17" s="30">
        <f>H17*'Inputs'!$C$97</f>
        <v/>
      </c>
    </row>
    <row r="18">
      <c r="B18" s="8" t="inlineStr">
        <is>
          <t>Payments &amp; FX support</t>
        </is>
      </c>
      <c r="C18" s="38" t="inlineStr">
        <is>
          <t>fx</t>
        </is>
      </c>
      <c r="D18" s="8" t="inlineStr">
        <is>
          <t>Service &amp; ops</t>
        </is>
      </c>
      <c r="E18" s="27">
        <f>'1. Customers'!$C$16</f>
        <v/>
      </c>
      <c r="F18" s="39">
        <f>'Inputs'!$C$91</f>
        <v/>
      </c>
      <c r="G18" s="27">
        <f>E18*F18</f>
        <v/>
      </c>
      <c r="H18" s="30">
        <f>G18*'3. HR &amp; Activity'!$C$6</f>
        <v/>
      </c>
      <c r="I18" s="38" t="inlineStr">
        <is>
          <t>PX-WP</t>
        </is>
      </c>
      <c r="J18" s="30">
        <f>H18*'Inputs'!$C$96</f>
        <v/>
      </c>
      <c r="K18" s="30">
        <f>H18*'Inputs'!$C$97</f>
        <v/>
      </c>
    </row>
    <row r="19">
      <c r="B19" s="8" t="inlineStr">
        <is>
          <t>Collections — overdrafts</t>
        </is>
      </c>
      <c r="C19" s="38" t="inlineStr">
        <is>
          <t>od</t>
        </is>
      </c>
      <c r="D19" s="8" t="inlineStr">
        <is>
          <t>Credit analyst</t>
        </is>
      </c>
      <c r="E19" s="27">
        <f>'1. Customers'!$C$13*'Inputs'!$C$92</f>
        <v/>
      </c>
      <c r="F19" s="39">
        <f>'Inputs'!$C$93</f>
        <v/>
      </c>
      <c r="G19" s="27">
        <f>E19*F19</f>
        <v/>
      </c>
      <c r="H19" s="30">
        <f>G19*'3. HR &amp; Activity'!$C$5</f>
        <v/>
      </c>
      <c r="I19" s="38" t="inlineStr">
        <is>
          <t>LN-WP</t>
        </is>
      </c>
      <c r="J19" s="30">
        <f>H19*'Inputs'!$C$96</f>
        <v/>
      </c>
      <c r="K19" s="30">
        <f>H19*'Inputs'!$C$97</f>
        <v/>
      </c>
    </row>
    <row r="20">
      <c r="B20" s="8" t="inlineStr">
        <is>
          <t>Collections — term loans</t>
        </is>
      </c>
      <c r="C20" s="38" t="inlineStr">
        <is>
          <t>loan</t>
        </is>
      </c>
      <c r="D20" s="8" t="inlineStr">
        <is>
          <t>Credit analyst</t>
        </is>
      </c>
      <c r="E20" s="27">
        <f>'1. Customers'!$C$14*'Inputs'!$C$92</f>
        <v/>
      </c>
      <c r="F20" s="39">
        <f>'Inputs'!$C$93</f>
        <v/>
      </c>
      <c r="G20" s="27">
        <f>E20*F20</f>
        <v/>
      </c>
      <c r="H20" s="30">
        <f>G20*'3. HR &amp; Activity'!$C$5</f>
        <v/>
      </c>
      <c r="I20" s="38" t="inlineStr">
        <is>
          <t>LN-WP</t>
        </is>
      </c>
      <c r="J20" s="30">
        <f>H20*'Inputs'!$C$96</f>
        <v/>
      </c>
      <c r="K20" s="30">
        <f>H20*'Inputs'!$C$97</f>
        <v/>
      </c>
    </row>
    <row r="21">
      <c r="B21" s="8" t="inlineStr">
        <is>
          <t>Collections — cards</t>
        </is>
      </c>
      <c r="C21" s="38" t="inlineStr">
        <is>
          <t>card</t>
        </is>
      </c>
      <c r="D21" s="8" t="inlineStr">
        <is>
          <t>Credit analyst</t>
        </is>
      </c>
      <c r="E21" s="27">
        <f>'1. Customers'!$C$15*'Inputs'!$C$92</f>
        <v/>
      </c>
      <c r="F21" s="39">
        <f>'Inputs'!$C$93</f>
        <v/>
      </c>
      <c r="G21" s="27">
        <f>E21*F21</f>
        <v/>
      </c>
      <c r="H21" s="30">
        <f>G21*'3. HR &amp; Activity'!$C$5</f>
        <v/>
      </c>
      <c r="I21" s="38" t="inlineStr">
        <is>
          <t>CC-WP</t>
        </is>
      </c>
      <c r="J21" s="30">
        <f>H21*'Inputs'!$C$96</f>
        <v/>
      </c>
      <c r="K21" s="30">
        <f>H21*'Inputs'!$C$97</f>
        <v/>
      </c>
    </row>
    <row r="22">
      <c r="B22" s="8" t="inlineStr">
        <is>
          <t>Collateral administration — term loans</t>
        </is>
      </c>
      <c r="C22" s="38" t="inlineStr">
        <is>
          <t>loan</t>
        </is>
      </c>
      <c r="D22" s="8" t="inlineStr">
        <is>
          <t>Credit analyst</t>
        </is>
      </c>
      <c r="E22" s="27">
        <f>'1. Customers'!$C$14</f>
        <v/>
      </c>
      <c r="F22" s="39">
        <f>'Inputs'!$C$94</f>
        <v/>
      </c>
      <c r="G22" s="27">
        <f>E22*F22</f>
        <v/>
      </c>
      <c r="H22" s="30">
        <f>G22*'3. HR &amp; Activity'!$C$5</f>
        <v/>
      </c>
      <c r="I22" s="38" t="inlineStr">
        <is>
          <t>LN-WP</t>
        </is>
      </c>
      <c r="J22" s="30">
        <f>H22*'Inputs'!$C$96</f>
        <v/>
      </c>
      <c r="K22" s="30">
        <f>H22*'Inputs'!$C$97</f>
        <v/>
      </c>
    </row>
    <row r="23">
      <c r="B23" s="8" t="inlineStr">
        <is>
          <t>Recoveries &amp; workout — term loans (banded input)</t>
        </is>
      </c>
      <c r="C23" s="38" t="inlineStr">
        <is>
          <t>loan</t>
        </is>
      </c>
      <c r="D23" s="8" t="inlineStr">
        <is>
          <t>Credit analyst</t>
        </is>
      </c>
      <c r="E23" s="27">
        <f>'1. Customers'!$C$14*'Inputs'!$C$92</f>
        <v/>
      </c>
      <c r="F23" s="39">
        <f>'Inputs'!$C$95</f>
        <v/>
      </c>
      <c r="G23" s="27">
        <f>E23*F23</f>
        <v/>
      </c>
      <c r="H23" s="30">
        <f>G23*'3. HR &amp; Activity'!$C$5</f>
        <v/>
      </c>
      <c r="I23" s="38" t="inlineStr">
        <is>
          <t>LN-WP</t>
        </is>
      </c>
      <c r="J23" s="30">
        <f>H23*'Inputs'!$C$96</f>
        <v/>
      </c>
      <c r="K23" s="30">
        <f>H23*'Inputs'!$C$97</f>
        <v/>
      </c>
    </row>
    <row r="25">
      <c r="B25" s="5" t="inlineStr">
        <is>
          <t>FTE REQUIREMENT &amp; COST (customer load, L)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B26" s="7" t="inlineStr">
        <is>
          <t>Role</t>
        </is>
      </c>
      <c r="C26" s="7" t="inlineStr"/>
      <c r="D26" s="7" t="inlineStr">
        <is>
          <t>FTEs</t>
        </is>
      </c>
      <c r="E26" s="7" t="inlineStr">
        <is>
          <t>Salary (£)</t>
        </is>
      </c>
      <c r="F26" s="7" t="inlineStr"/>
      <c r="G26" s="7" t="inlineStr"/>
      <c r="H26" s="7" t="inlineStr">
        <is>
          <t>Total cost (£/yr)</t>
        </is>
      </c>
    </row>
    <row r="27">
      <c r="B27" s="8" t="inlineStr">
        <is>
          <t>Relationship managers (portfolio-driven: 90 customers/RM)</t>
        </is>
      </c>
      <c r="D27" s="40">
        <f>'1. Customers'!$C$5/'Inputs'!$C$21</f>
        <v/>
      </c>
      <c r="E27" s="34">
        <f>'Inputs'!$C$77</f>
        <v/>
      </c>
      <c r="H27" s="30">
        <f>D27*E27*(1+'Inputs'!$C$81)</f>
        <v/>
      </c>
    </row>
    <row r="28">
      <c r="B28" s="8" t="inlineStr">
        <is>
          <t>Credit analysts (activity-driven)</t>
        </is>
      </c>
      <c r="D28" s="40">
        <f>SUMIF('3. HR &amp; Activity'!$D$10:$D$23,"Credit analyst",'3. HR &amp; Activity'!$G$10:$G$23)/'3. HR &amp; Activity'!$C$4</f>
        <v/>
      </c>
      <c r="E28" s="34">
        <f>'Inputs'!$C$78</f>
        <v/>
      </c>
      <c r="H28" s="30">
        <f>D28*E28*(1+'Inputs'!$C$81)</f>
        <v/>
      </c>
    </row>
    <row r="29">
      <c r="B29" s="8" t="inlineStr">
        <is>
          <t>Service &amp; operations (activity-driven)</t>
        </is>
      </c>
      <c r="D29" s="40">
        <f>SUMIF('3. HR &amp; Activity'!$D$10:$D$23,"Service &amp; ops",'3. HR &amp; Activity'!$G$10:$G$23)/'3. HR &amp; Activity'!$C$4</f>
        <v/>
      </c>
      <c r="E29" s="34">
        <f>'Inputs'!$C$79</f>
        <v/>
      </c>
      <c r="H29" s="30">
        <f>D29*E29*(1+'Inputs'!$C$81)</f>
        <v/>
      </c>
    </row>
    <row r="30">
      <c r="B30" s="8" t="inlineStr">
        <is>
          <t>Team managers (span-driven: 8 staff/manager)</t>
        </is>
      </c>
      <c r="D30" s="40">
        <f>('3. HR &amp; Activity'!$D$27+'3. HR &amp; Activity'!$D$28+'3. HR &amp; Activity'!$D$29)/'Inputs'!$C$82</f>
        <v/>
      </c>
      <c r="E30" s="34">
        <f>'Inputs'!$C$80</f>
        <v/>
      </c>
      <c r="H30" s="30">
        <f>D30*E30*(1+'Inputs'!$C$81)</f>
        <v/>
      </c>
    </row>
    <row r="31">
      <c r="B31" s="36" t="inlineStr">
        <is>
          <t>TOTAL OPERATING-UNIT STAFF</t>
        </is>
      </c>
      <c r="D31" s="41">
        <f>'3. HR &amp; Activity'!$D$27+'3. HR &amp; Activity'!$D$28+'3. HR &amp; Activity'!$D$29+'3. HR &amp; Activity'!$D$30</f>
        <v/>
      </c>
      <c r="H31" s="31">
        <f>'3. HR &amp; Activity'!$H$27+'3. HR &amp; Activity'!$H$28+'3. HR &amp; Activity'!$H$29+'3. HR &amp; Activity'!$H$30</f>
        <v/>
      </c>
    </row>
    <row r="33">
      <c r="B33" s="5" t="inlineStr">
        <is>
          <t>THE RM SYSTEM — ORIGINATE / STEWARD / DEFEND (time-split is MISSING input #3: method default 50/30/20, banded)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B34" s="8" t="inlineStr">
        <is>
          <t>RM cost — originate</t>
        </is>
      </c>
      <c r="D34" s="42">
        <f>'Inputs'!$C$118</f>
        <v/>
      </c>
      <c r="H34" s="30">
        <f>'3. HR &amp; Activity'!$H$27*'Inputs'!$C$118</f>
        <v/>
      </c>
    </row>
    <row r="35">
      <c r="B35" s="8" t="inlineStr">
        <is>
          <t>RM cost — steward</t>
        </is>
      </c>
      <c r="D35" s="42">
        <f>'Inputs'!$C$119</f>
        <v/>
      </c>
      <c r="H35" s="30">
        <f>'3. HR &amp; Activity'!$H$27*'Inputs'!$C$119</f>
        <v/>
      </c>
    </row>
    <row r="36">
      <c r="B36" s="8" t="inlineStr">
        <is>
          <t>RM cost — defend</t>
        </is>
      </c>
      <c r="D36" s="42">
        <f>'Inputs'!$C$120</f>
        <v/>
      </c>
      <c r="H36" s="30">
        <f>'3. HR &amp; Activity'!$H$27*'Inputs'!$C$120</f>
        <v/>
      </c>
    </row>
    <row r="38">
      <c r="B38" s="7" t="inlineStr">
        <is>
          <t>ORIGINATE — attributed per origination by relative effort</t>
        </is>
      </c>
    </row>
    <row r="39">
      <c r="B39" s="29" t="inlineStr">
        <is>
          <t>Product</t>
        </is>
      </c>
      <c r="C39" s="29" t="inlineStr"/>
      <c r="D39" s="29" t="inlineStr">
        <is>
          <t>Originations / renewals p.a.</t>
        </is>
      </c>
      <c r="E39" s="29" t="inlineStr">
        <is>
          <t>Effort weight</t>
        </is>
      </c>
      <c r="F39" s="29" t="inlineStr">
        <is>
          <t>Weighted volume</t>
        </is>
      </c>
      <c r="G39" s="29" t="inlineStr">
        <is>
          <t>RM cost attributed (£/yr)</t>
        </is>
      </c>
      <c r="H39" s="29" t="inlineStr">
        <is>
          <t>Cost per unit on book (£/yr)</t>
        </is>
      </c>
    </row>
    <row r="40">
      <c r="B40" s="8" t="inlineStr">
        <is>
          <t>Term loans (new)</t>
        </is>
      </c>
      <c r="D40" s="27">
        <f>'1. Customers'!$C$14/'Inputs'!$C$32</f>
        <v/>
      </c>
      <c r="E40" s="43">
        <f>'Inputs'!$C$121</f>
        <v/>
      </c>
      <c r="F40" s="40">
        <f>D40*E40</f>
        <v/>
      </c>
      <c r="G40" s="30">
        <f>F40/SUM(F40:F41)*'3. HR &amp; Activity'!$H$34</f>
        <v/>
      </c>
      <c r="H40" s="30">
        <f>G40/'1. Customers'!$C$14</f>
        <v/>
      </c>
    </row>
    <row r="41">
      <c r="B41" s="8" t="inlineStr">
        <is>
          <t>Overdrafts (annual renewals)</t>
        </is>
      </c>
      <c r="D41" s="27">
        <f>'1. Customers'!$C$13</f>
        <v/>
      </c>
      <c r="E41" s="43">
        <f>'Inputs'!$C$122</f>
        <v/>
      </c>
      <c r="F41" s="40">
        <f>D41*E41</f>
        <v/>
      </c>
      <c r="G41" s="30">
        <f>F41/SUM(F40:F41)*'3. HR &amp; Activity'!$H$34</f>
        <v/>
      </c>
      <c r="H41" s="30">
        <f>G41/'1. Customers'!$C$13</f>
        <v/>
      </c>
    </row>
    <row r="42">
      <c r="B42" s="36" t="inlineStr">
        <is>
          <t>TOTAL RM ORIGINATION COST ATTRIBUTED</t>
        </is>
      </c>
      <c r="G42" s="31">
        <f>SUM(G40:G41)</f>
        <v/>
      </c>
    </row>
    <row r="44">
      <c r="B44" s="7" t="inlineStr">
        <is>
          <t>STEWARD — attributed to lending pro-rata balances (no PD benefit claimed: pd_red = 0, no evidence)</t>
        </is>
      </c>
    </row>
    <row r="45">
      <c r="B45" s="8" t="inlineStr">
        <is>
          <t>Overdrafts</t>
        </is>
      </c>
      <c r="D45" s="34">
        <f>'1. Customers'!$E$13</f>
        <v/>
      </c>
      <c r="E45" s="32">
        <f>'1. Customers'!$E$13/('1. Customers'!$E$13+'1. Customers'!$E$14)</f>
        <v/>
      </c>
      <c r="G45" s="30">
        <f>E45*'3. HR &amp; Activity'!$H$35</f>
        <v/>
      </c>
    </row>
    <row r="46">
      <c r="B46" s="8" t="inlineStr">
        <is>
          <t>Term loans</t>
        </is>
      </c>
      <c r="D46" s="34">
        <f>'1. Customers'!$E$14</f>
        <v/>
      </c>
      <c r="E46" s="32">
        <f>'1. Customers'!$E$14/('1. Customers'!$E$13+'1. Customers'!$E$14)</f>
        <v/>
      </c>
      <c r="G46" s="30">
        <f>E46*'3. HR &amp; Activity'!$H$35</f>
        <v/>
      </c>
    </row>
    <row r="47">
      <c r="B47" s="10" t="inlineStr">
        <is>
          <t>DEFEND — retention spend held at centre level (not product-allocated); churn benefit not claimed (def_red = 0)</t>
        </is>
      </c>
    </row>
  </sheetData>
  <mergeCells count="1">
    <mergeCell ref="B47:H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54" customWidth="1" min="2" max="2"/>
    <col width="15" customWidth="1" min="3" max="3"/>
    <col width="12" customWidth="1" min="4" max="4"/>
    <col width="72" customWidth="1" min="5" max="5"/>
  </cols>
  <sheetData>
    <row r="1">
      <c r="B1" s="1" t="inlineStr">
        <is>
          <t>STEP 2 (CONT.) — TOTAL RUNNING COSTS OF THE OPERATING UNIT</t>
        </is>
      </c>
    </row>
    <row r="3">
      <c r="B3" s="8" t="inlineStr">
        <is>
          <t>Unit HR cost (from HR &amp; Activity sheet)</t>
        </is>
      </c>
      <c r="C3" s="34">
        <f>'3. HR &amp; Activity'!$H$31</f>
        <v/>
      </c>
    </row>
    <row r="4">
      <c r="B4" s="8" t="inlineStr">
        <is>
          <t>Premises &amp; facilities</t>
        </is>
      </c>
      <c r="C4" s="30">
        <f>'3. HR &amp; Activity'!$D$31*'Inputs'!$C$100</f>
        <v/>
      </c>
      <c r="E4" s="4" t="inlineStr">
        <is>
          <t>FTEs × £5,500</t>
        </is>
      </c>
    </row>
    <row r="5">
      <c r="B5" s="8" t="inlineStr">
        <is>
          <t>Depreciation</t>
        </is>
      </c>
      <c r="C5" s="30">
        <f>'3. HR &amp; Activity'!$D$31*'Inputs'!$C$101</f>
        <v/>
      </c>
      <c r="E5" s="4" t="inlineStr">
        <is>
          <t>FTEs × £1,000</t>
        </is>
      </c>
    </row>
    <row r="6">
      <c r="B6" s="8" t="inlineStr">
        <is>
          <t>Other direct running costs</t>
        </is>
      </c>
      <c r="C6" s="30">
        <f>'4. Running Costs'!$C$3*'Inputs'!$C$102</f>
        <v/>
      </c>
      <c r="E6" s="4" t="inlineStr">
        <is>
          <t>5% of HR</t>
        </is>
      </c>
    </row>
    <row r="7">
      <c r="B7" s="8" t="inlineStr">
        <is>
          <t>Unit platform</t>
        </is>
      </c>
      <c r="C7" s="30">
        <f>'1. Customers'!$C$4*'Inputs'!$C$103</f>
        <v/>
      </c>
      <c r="E7" s="4" t="inlineStr">
        <is>
          <t>£50/customer</t>
        </is>
      </c>
    </row>
    <row r="8">
      <c r="B8" s="8" t="inlineStr">
        <is>
          <t>Fraud &amp; APP losses</t>
        </is>
      </c>
      <c r="C8" s="30">
        <f>'Inputs'!$C$112*'1. Customers'!$C$10</f>
        <v/>
      </c>
      <c r="E8" s="4" t="inlineStr">
        <is>
          <t>Driver: current accounts (£38/BCA)</t>
        </is>
      </c>
    </row>
    <row r="9">
      <c r="B9" s="8" t="inlineStr">
        <is>
          <t>FSCS deposit-protection levy</t>
        </is>
      </c>
      <c r="C9" s="30">
        <f>'1. Customers'!$E$17*'Inputs'!$C$114*'Inputs'!$C$113</f>
        <v/>
      </c>
      <c r="E9" s="4" t="inlineStr">
        <is>
          <t>0.05% on 55% of deposit balances</t>
        </is>
      </c>
    </row>
    <row r="10">
      <c r="B10" s="25" t="inlineStr">
        <is>
          <t>TOTAL DIRECT RUNNING COSTS</t>
        </is>
      </c>
      <c r="C10" s="31">
        <f>'4. Running Costs'!$C$3+'4. Running Costs'!$C$4+'4. Running Costs'!$C$5+'4. Running Costs'!$C$6+'4. Running Costs'!$C$7+'4. Running Costs'!$C$8+'4. Running Costs'!$C$9</f>
        <v/>
      </c>
    </row>
    <row r="12">
      <c r="B12" s="5" t="inlineStr">
        <is>
          <t>SHARE OF HEAD-OFFICE RUNNING COSTS</t>
        </is>
      </c>
      <c r="C12" s="6" t="inlineStr"/>
      <c r="D12" s="6" t="inlineStr"/>
      <c r="E12" s="6" t="inlineStr"/>
    </row>
    <row r="13">
      <c r="B13" s="8" t="inlineStr">
        <is>
          <t>HQ technology</t>
        </is>
      </c>
      <c r="C13" s="30">
        <f>'1. Customers'!$C$4*'Inputs'!$C$104</f>
        <v/>
      </c>
      <c r="E13" s="4" t="inlineStr">
        <is>
          <t>£380/customer</t>
        </is>
      </c>
    </row>
    <row r="14">
      <c r="B14" s="8" t="inlineStr">
        <is>
          <t>HQ risk &amp; compliance</t>
        </is>
      </c>
      <c r="C14" s="30">
        <f>'1. Customers'!$C$4*'Inputs'!$C$105</f>
        <v/>
      </c>
      <c r="E14" s="4" t="inlineStr">
        <is>
          <t>£210/customer</t>
        </is>
      </c>
    </row>
    <row r="15">
      <c r="B15" s="8" t="inlineStr">
        <is>
          <t>HQ corporate centre</t>
        </is>
      </c>
      <c r="C15" s="30">
        <f>'1. Customers'!$C$4*'Inputs'!$C$106</f>
        <v/>
      </c>
      <c r="E15" s="4" t="inlineStr">
        <is>
          <t>£220/customer</t>
        </is>
      </c>
    </row>
    <row r="16">
      <c r="B16" s="25" t="inlineStr">
        <is>
          <t>TOTAL HEAD-OFFICE ALLOCATION</t>
        </is>
      </c>
      <c r="C16" s="31">
        <f>'4. Running Costs'!$C$13+'4. Running Costs'!$C$14+'4. Running Costs'!$C$15</f>
        <v/>
      </c>
    </row>
    <row r="18">
      <c r="B18" s="25" t="inlineStr">
        <is>
          <t>Change-the-bank (portfolio hurdle — no product driver)</t>
        </is>
      </c>
      <c r="C18" s="44">
        <f>'1. Customers'!$C$4*'Inputs'!$C$115</f>
        <v/>
      </c>
      <c r="E18" s="4" t="inlineStr">
        <is>
          <t>£100/customer; held unallocated like joint costs</t>
        </is>
      </c>
    </row>
    <row r="19">
      <c r="B19" s="25" t="inlineStr">
        <is>
          <t>TOTAL OPERATING COSTS</t>
        </is>
      </c>
      <c r="C19" s="31">
        <f>'4. Running Costs'!$C$10+'4. Running Costs'!$C$16+'4. Running Costs'!$C$18</f>
        <v/>
      </c>
    </row>
    <row r="20">
      <c r="B20" s="25" t="inlineStr">
        <is>
          <t>Operating cost per customer</t>
        </is>
      </c>
      <c r="C20" s="35">
        <f>'4. Running Costs'!$C$19/'1. Customers'!$C$4</f>
        <v/>
      </c>
    </row>
    <row r="22">
      <c r="B22" s="5" t="inlineStr">
        <is>
          <t>COST ATTRIBUTION MEMO (ABC to the causality limit)</t>
        </is>
      </c>
      <c r="C22" s="6" t="inlineStr"/>
      <c r="D22" s="6" t="inlineStr"/>
      <c r="E22" s="6" t="inlineStr"/>
    </row>
    <row r="23">
      <c r="B23" s="8" t="inlineStr">
        <is>
          <t>Activity-driven servicing cost (analyst + service payroll)</t>
        </is>
      </c>
      <c r="C23" s="30">
        <f>'3. HR &amp; Activity'!$H$28+'3. HR &amp; Activity'!$H$29</f>
        <v/>
      </c>
    </row>
    <row r="24">
      <c r="B24" s="8" t="inlineStr">
        <is>
          <t>Supervision &amp; workplace pool (managers, premises, depreciation, other)</t>
        </is>
      </c>
      <c r="C24" s="30">
        <f>'3. HR &amp; Activity'!$H$30+'4. Running Costs'!$C$4+'4. Running Costs'!$C$5+'4. Running Costs'!$C$6</f>
        <v/>
      </c>
      <c r="E24" s="4" t="inlineStr">
        <is>
          <t>Driver: staff time — follows each product's share of servicing + RM cost</t>
        </is>
      </c>
    </row>
    <row r="25">
      <c r="B25" s="8" t="inlineStr">
        <is>
          <t>HQ tech attributed by driver (payments £100/BCA + core £25/acct + credit £150/facility)</t>
        </is>
      </c>
      <c r="C25" s="30">
        <f>'Inputs'!$C$109*'1. Customers'!$C$10+'Inputs'!$C$110*'1. Customers'!$C$20+'Inputs'!$C$111*'1. Customers'!$C$21</f>
        <v/>
      </c>
    </row>
    <row r="26">
      <c r="B26" s="8" t="inlineStr">
        <is>
          <t>HQ risk attributed by driver (KYC £120/new + refresh £50/customer)</t>
        </is>
      </c>
      <c r="C26" s="30">
        <f>'Inputs'!$C$107*'1. Customers'!$C$6+'Inputs'!$C$108*'1. Customers'!$C$4</f>
        <v/>
      </c>
    </row>
    <row r="27">
      <c r="B27" s="25" t="inlineStr">
        <is>
          <t>UNALLOCATED JOINT COSTS (no causal driver — brand, exec, finance, platform build)</t>
        </is>
      </c>
      <c r="C27" s="44">
        <f>'4. Running Costs'!$C$16-'4. Running Costs'!$C$25-'4. Running Costs'!$C$26</f>
        <v/>
      </c>
      <c r="E27" s="4" t="inlineStr">
        <is>
          <t>Held as a portfolio hurdle, not forced into products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0" customWidth="1" min="4" max="4"/>
    <col width="13" customWidth="1" min="5" max="5"/>
    <col width="15" customWidth="1" min="6" max="6"/>
    <col width="13" customWidth="1" min="7" max="7"/>
    <col width="13" customWidth="1" min="8" max="8"/>
    <col width="58" customWidth="1" min="9" max="9"/>
  </cols>
  <sheetData>
    <row r="1">
      <c r="B1" s="1" t="inlineStr">
        <is>
          <t>STEP 3 — INVESTMENT COSTS: EXPECTED LOSSES, CAPITAL &amp; REQUIRED RETURN</t>
        </is>
      </c>
    </row>
    <row r="3">
      <c r="B3" s="5" t="inlineStr">
        <is>
          <t>EXPECTED CREDIT LOSSES</t>
        </is>
      </c>
      <c r="C3" s="6" t="inlineStr"/>
      <c r="D3" s="6" t="inlineStr"/>
      <c r="E3" s="6" t="inlineStr"/>
      <c r="F3" s="6" t="inlineStr"/>
      <c r="G3" s="6" t="inlineStr"/>
      <c r="H3" s="6" t="inlineStr"/>
    </row>
    <row r="4">
      <c r="B4" s="29" t="inlineStr">
        <is>
          <t>Lending product</t>
        </is>
      </c>
      <c r="C4" s="29" t="inlineStr">
        <is>
          <t>Total balances (£)</t>
        </is>
      </c>
      <c r="D4" s="29" t="inlineStr">
        <is>
          <t>PD</t>
        </is>
      </c>
      <c r="E4" s="29" t="inlineStr">
        <is>
          <t>LGD</t>
        </is>
      </c>
      <c r="F4" s="29" t="inlineStr">
        <is>
          <t>Expected loss (£/yr)</t>
        </is>
      </c>
      <c r="G4" s="29" t="inlineStr">
        <is>
          <t>EL per unit (£)</t>
        </is>
      </c>
    </row>
    <row r="5">
      <c r="B5" s="8" t="inlineStr">
        <is>
          <t>Business overdrafts</t>
        </is>
      </c>
      <c r="C5" s="34">
        <f>'1. Customers'!$E$13</f>
        <v/>
      </c>
      <c r="D5" s="45">
        <f>'Inputs'!$C$64</f>
        <v/>
      </c>
      <c r="E5" s="42">
        <f>'Inputs'!$C$65</f>
        <v/>
      </c>
      <c r="F5" s="30">
        <f>C5*D5*E5</f>
        <v/>
      </c>
      <c r="G5" s="30">
        <f>F5/'1. Customers'!$C$13</f>
        <v/>
      </c>
    </row>
    <row r="6">
      <c r="B6" s="8" t="inlineStr">
        <is>
          <t>Term loans</t>
        </is>
      </c>
      <c r="C6" s="34">
        <f>'1. Customers'!$E$14</f>
        <v/>
      </c>
      <c r="D6" s="45">
        <f>'Inputs'!$C$61</f>
        <v/>
      </c>
      <c r="E6" s="42">
        <f>'Inputs'!$C$62</f>
        <v/>
      </c>
      <c r="F6" s="30">
        <f>C6*D6*E6</f>
        <v/>
      </c>
      <c r="G6" s="30">
        <f>F6/'1. Customers'!$C$14</f>
        <v/>
      </c>
    </row>
    <row r="7">
      <c r="B7" s="8" t="inlineStr">
        <is>
          <t>Business credit cards</t>
        </is>
      </c>
      <c r="C7" s="34">
        <f>'1. Customers'!$E$15</f>
        <v/>
      </c>
      <c r="D7" s="45">
        <f>'Inputs'!$C$67</f>
        <v/>
      </c>
      <c r="E7" s="42">
        <f>'Inputs'!$C$68</f>
        <v/>
      </c>
      <c r="F7" s="30">
        <f>C7*D7*E7</f>
        <v/>
      </c>
      <c r="G7" s="30">
        <f>F7/'1. Customers'!$C$15</f>
        <v/>
      </c>
    </row>
    <row r="8">
      <c r="B8" s="36" t="inlineStr">
        <is>
          <t>TOTAL EXPECTED LOSSES</t>
        </is>
      </c>
      <c r="F8" s="31">
        <f>SUM(F5:F7)</f>
        <v/>
      </c>
    </row>
    <row r="9">
      <c r="B9" s="10" t="inlineStr">
        <is>
          <t>Gross PDs used unadjusted — no stewardship PD reduction claimed (pd_red = 0, no holdout evidence).</t>
        </is>
      </c>
    </row>
    <row r="11">
      <c r="B11" s="5" t="inlineStr">
        <is>
          <t>CAPITAL &amp; REQUIRED RETURN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>
      <c r="B12" s="8" t="inlineStr">
        <is>
          <t>Credit risk-weighted assets</t>
        </is>
      </c>
      <c r="C12" s="30">
        <f>'1. Customers'!$E$13*'Inputs'!$C$66+'1. Customers'!$E$14*'Inputs'!$C$63+'1. Customers'!$E$15*'Inputs'!$C$69</f>
        <v/>
      </c>
      <c r="I12" s="4" t="inlineStr">
        <is>
          <t>Drawn balances × risk weights</t>
        </is>
      </c>
    </row>
    <row r="13">
      <c r="B13" s="8" t="inlineStr">
        <is>
          <t>Operational risk-weighted assets</t>
        </is>
      </c>
      <c r="C13" s="30">
        <f>'2. Revenues'!$M$12*'Inputs'!$C$70</f>
        <v/>
      </c>
      <c r="I13" s="4" t="inlineStr">
        <is>
          <t>Gross income × 1.875 (fact pack)</t>
        </is>
      </c>
    </row>
    <row r="14">
      <c r="B14" s="25" t="inlineStr">
        <is>
          <t>TOTAL RWAs</t>
        </is>
      </c>
      <c r="C14" s="31">
        <f>'5. Risk &amp; Capital'!$C$12+'5. Risk &amp; Capital'!$C$13</f>
        <v/>
      </c>
    </row>
    <row r="15">
      <c r="B15" s="25" t="inlineStr">
        <is>
          <t>Equity allocated (RWAs × 13.5% CET1)</t>
        </is>
      </c>
      <c r="C15" s="31">
        <f>'5. Risk &amp; Capital'!$C$14*'Inputs'!$C$71</f>
        <v/>
      </c>
    </row>
    <row r="16">
      <c r="B16" s="8" t="inlineStr">
        <is>
          <t>Equity investment benefit (equity earns Bank Rate)</t>
        </is>
      </c>
      <c r="C16" s="30">
        <f>'5. Risk &amp; Capital'!$C$15*'Inputs'!$C$6</f>
        <v/>
      </c>
      <c r="I16" s="4" t="inlineStr">
        <is>
          <t>Added to income in the P&amp;L — equity funds assets so it earns the transfer price</t>
        </is>
      </c>
    </row>
    <row r="17">
      <c r="B17" s="8" t="inlineStr">
        <is>
          <t>Required return on equity (equity × 11.5% CoE)</t>
        </is>
      </c>
      <c r="C17" s="30">
        <f>'5. Risk &amp; Capital'!$C$15*'Inputs'!$C$72</f>
        <v/>
      </c>
      <c r="I17" s="4" t="inlineStr">
        <is>
          <t>The second-level investment cost: what shareholders must earn</t>
        </is>
      </c>
    </row>
  </sheetData>
  <mergeCells count="1">
    <mergeCell ref="B9:H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</cols>
  <sheetData>
    <row r="1">
      <c r="B1" s="1" t="inlineStr">
        <is>
          <t>STEPS 4 &amp; 5 — WHOLE-COST UNIT ECONOMICS BY PRODUCT</t>
        </is>
      </c>
    </row>
    <row r="2">
      <c r="B2" s="4" t="inlineStr">
        <is>
          <t>Per account / facility / user per year. Whole cost = EL + servicing + RM + supervision + infrastructure + fraud + levies; economic contribution is after a charge for shareholder capital.</t>
        </is>
      </c>
    </row>
    <row r="4">
      <c r="C4" s="29" t="inlineStr">
        <is>
          <t>Current accounts</t>
        </is>
      </c>
      <c r="D4" s="29" t="inlineStr">
        <is>
          <t>Instant savings</t>
        </is>
      </c>
      <c r="E4" s="29" t="inlineStr">
        <is>
          <t>Fixed deposits</t>
        </is>
      </c>
      <c r="F4" s="29" t="inlineStr">
        <is>
          <t>Overdrafts</t>
        </is>
      </c>
      <c r="G4" s="29" t="inlineStr">
        <is>
          <t>Term loans</t>
        </is>
      </c>
      <c r="H4" s="29" t="inlineStr">
        <is>
          <t>Credit cards</t>
        </is>
      </c>
      <c r="I4" s="29" t="inlineStr">
        <is>
          <t>Payments &amp; FX</t>
        </is>
      </c>
      <c r="J4" s="29" t="inlineStr">
        <is>
          <t>TOTAL / blended</t>
        </is>
      </c>
    </row>
    <row r="5">
      <c r="B5" s="38" t="inlineStr">
        <is>
          <t>(product key)</t>
        </is>
      </c>
      <c r="C5" s="46" t="inlineStr">
        <is>
          <t>bca</t>
        </is>
      </c>
      <c r="D5" s="46" t="inlineStr">
        <is>
          <t>sav</t>
        </is>
      </c>
      <c r="E5" s="46" t="inlineStr">
        <is>
          <t>dep</t>
        </is>
      </c>
      <c r="F5" s="46" t="inlineStr">
        <is>
          <t>od</t>
        </is>
      </c>
      <c r="G5" s="46" t="inlineStr">
        <is>
          <t>loan</t>
        </is>
      </c>
      <c r="H5" s="46" t="inlineStr">
        <is>
          <t>card</t>
        </is>
      </c>
      <c r="I5" s="46" t="inlineStr">
        <is>
          <t>fx</t>
        </is>
      </c>
    </row>
    <row r="6">
      <c r="B6" s="8" t="inlineStr">
        <is>
          <t>Units (accounts / facilities / users)</t>
        </is>
      </c>
      <c r="C6" s="33">
        <f>'1. Customers'!$C$10</f>
        <v/>
      </c>
      <c r="D6" s="33">
        <f>'1. Customers'!$C$11</f>
        <v/>
      </c>
      <c r="E6" s="33">
        <f>'1. Customers'!$C$12</f>
        <v/>
      </c>
      <c r="F6" s="33">
        <f>'1. Customers'!$C$13</f>
        <v/>
      </c>
      <c r="G6" s="33">
        <f>'1. Customers'!$C$14</f>
        <v/>
      </c>
      <c r="H6" s="33">
        <f>'1. Customers'!$C$15</f>
        <v/>
      </c>
      <c r="I6" s="33">
        <f>'1. Customers'!$C$16</f>
        <v/>
      </c>
      <c r="J6" s="28">
        <f>SUM(C6:I6)</f>
        <v/>
      </c>
    </row>
    <row r="7">
      <c r="B7" s="8" t="inlineStr">
        <is>
          <t>Average balance per unit</t>
        </is>
      </c>
      <c r="C7" s="34">
        <f>'1. Customers'!$D$10</f>
        <v/>
      </c>
      <c r="D7" s="34">
        <f>'1. Customers'!$D$11</f>
        <v/>
      </c>
      <c r="E7" s="34">
        <f>'1. Customers'!$D$12</f>
        <v/>
      </c>
      <c r="F7" s="34">
        <f>'1. Customers'!$D$13</f>
        <v/>
      </c>
      <c r="G7" s="34">
        <f>'1. Customers'!$D$14</f>
        <v/>
      </c>
      <c r="H7" s="34">
        <f>'1. Customers'!$D$15</f>
        <v/>
      </c>
      <c r="I7" s="34">
        <f>'1. Customers'!$D$16</f>
        <v/>
      </c>
    </row>
    <row r="8">
      <c r="B8" s="8" t="inlineStr">
        <is>
          <t>Revenue per unit</t>
        </is>
      </c>
      <c r="C8" s="34">
        <f>'2. Revenues'!$J$5</f>
        <v/>
      </c>
      <c r="D8" s="34">
        <f>'2. Revenues'!$J$6</f>
        <v/>
      </c>
      <c r="E8" s="34">
        <f>'2. Revenues'!$J$7</f>
        <v/>
      </c>
      <c r="F8" s="34">
        <f>'2. Revenues'!$J$8</f>
        <v/>
      </c>
      <c r="G8" s="34">
        <f>'2. Revenues'!$J$9</f>
        <v/>
      </c>
      <c r="H8" s="34">
        <f>'2. Revenues'!$J$10</f>
        <v/>
      </c>
      <c r="I8" s="34">
        <f>'2. Revenues'!$J$11</f>
        <v/>
      </c>
      <c r="J8" s="30">
        <f>'2. Revenues'!$M$12/J6</f>
        <v/>
      </c>
    </row>
    <row r="9">
      <c r="B9" s="8" t="inlineStr">
        <is>
          <t>Expected credit loss per unit</t>
        </is>
      </c>
      <c r="C9" s="30">
        <f>0</f>
        <v/>
      </c>
      <c r="D9" s="30">
        <f>0</f>
        <v/>
      </c>
      <c r="E9" s="30">
        <f>0</f>
        <v/>
      </c>
      <c r="F9" s="30">
        <f>'5. Risk &amp; Capital'!$F$5/'1. Customers'!$C$13</f>
        <v/>
      </c>
      <c r="G9" s="30">
        <f>'5. Risk &amp; Capital'!$F$6/'1. Customers'!$C$14</f>
        <v/>
      </c>
      <c r="H9" s="30">
        <f>'5. Risk &amp; Capital'!$F$7/'1. Customers'!$C$15</f>
        <v/>
      </c>
      <c r="I9" s="30">
        <f>0</f>
        <v/>
      </c>
      <c r="J9" s="30">
        <f>'5. Risk &amp; Capital'!$F$8/J6</f>
        <v/>
      </c>
    </row>
    <row r="10">
      <c r="B10" s="8" t="inlineStr">
        <is>
          <t>Servicing cost per unit (activity-driven, tab 3)</t>
        </is>
      </c>
      <c r="C10" s="30">
        <f>SUMIF('3. HR &amp; Activity'!$C$10:$C$23,C5,'3. HR &amp; Activity'!$H$10:$H$23)/'1. Customers'!$C$10</f>
        <v/>
      </c>
      <c r="D10" s="30">
        <f>SUMIF('3. HR &amp; Activity'!$C$10:$C$23,D5,'3. HR &amp; Activity'!$H$10:$H$23)/'1. Customers'!$C$11</f>
        <v/>
      </c>
      <c r="E10" s="30">
        <f>SUMIF('3. HR &amp; Activity'!$C$10:$C$23,E5,'3. HR &amp; Activity'!$H$10:$H$23)/'1. Customers'!$C$12</f>
        <v/>
      </c>
      <c r="F10" s="30">
        <f>SUMIF('3. HR &amp; Activity'!$C$10:$C$23,F5,'3. HR &amp; Activity'!$H$10:$H$23)/'1. Customers'!$C$13</f>
        <v/>
      </c>
      <c r="G10" s="30">
        <f>SUMIF('3. HR &amp; Activity'!$C$10:$C$23,G5,'3. HR &amp; Activity'!$H$10:$H$23)/'1. Customers'!$C$14</f>
        <v/>
      </c>
      <c r="H10" s="30">
        <f>SUMIF('3. HR &amp; Activity'!$C$10:$C$23,H5,'3. HR &amp; Activity'!$H$10:$H$23)/'1. Customers'!$C$15</f>
        <v/>
      </c>
      <c r="I10" s="30">
        <f>SUMIF('3. HR &amp; Activity'!$C$10:$C$23,I5,'3. HR &amp; Activity'!$H$10:$H$23)/'1. Customers'!$C$16</f>
        <v/>
      </c>
      <c r="J10" s="30">
        <f>'4. Running Costs'!$C$23/J6</f>
        <v/>
      </c>
    </row>
    <row r="11">
      <c r="B11" s="8" t="inlineStr">
        <is>
          <t>RM origination (CAC) per unit</t>
        </is>
      </c>
      <c r="C11" s="30">
        <f>0</f>
        <v/>
      </c>
      <c r="D11" s="30">
        <f>0</f>
        <v/>
      </c>
      <c r="E11" s="30">
        <f>0</f>
        <v/>
      </c>
      <c r="F11" s="30">
        <f>'3. HR &amp; Activity'!$G$41/'1. Customers'!$C$13</f>
        <v/>
      </c>
      <c r="G11" s="30">
        <f>'3. HR &amp; Activity'!$G$40/'1. Customers'!$C$14</f>
        <v/>
      </c>
      <c r="H11" s="30">
        <f>0</f>
        <v/>
      </c>
      <c r="I11" s="30">
        <f>0</f>
        <v/>
      </c>
      <c r="J11" s="30">
        <f>'3. HR &amp; Activity'!$H$34/J6</f>
        <v/>
      </c>
    </row>
    <row r="12">
      <c r="B12" s="8" t="inlineStr">
        <is>
          <t>RM stewardship per unit (pro-rata balances)</t>
        </is>
      </c>
      <c r="C12" s="30">
        <f>0</f>
        <v/>
      </c>
      <c r="D12" s="30">
        <f>0</f>
        <v/>
      </c>
      <c r="E12" s="30">
        <f>0</f>
        <v/>
      </c>
      <c r="F12" s="30">
        <f>'3. HR &amp; Activity'!$G$45/'1. Customers'!$C$13</f>
        <v/>
      </c>
      <c r="G12" s="30">
        <f>'3. HR &amp; Activity'!$G$46/'1. Customers'!$C$14</f>
        <v/>
      </c>
      <c r="H12" s="30">
        <f>0</f>
        <v/>
      </c>
      <c r="I12" s="30">
        <f>0</f>
        <v/>
      </c>
      <c r="J12" s="30">
        <f>'3. HR &amp; Activity'!$H$35/J6</f>
        <v/>
      </c>
    </row>
    <row r="13">
      <c r="B13" s="8" t="inlineStr">
        <is>
          <t>Supervision &amp; workplace per unit (driver: staff time)</t>
        </is>
      </c>
      <c r="C13" s="30">
        <f>'4. Running Costs'!$C$24*(SUMIF('3. HR &amp; Activity'!$C$10:$C$23,C5,'3. HR &amp; Activity'!$H$10:$H$23))/('4. Running Costs'!$C$23+'3. HR &amp; Activity'!$H$34+'3. HR &amp; Activity'!$H$35)/'1. Customers'!$C$10</f>
        <v/>
      </c>
      <c r="D13" s="30">
        <f>'4. Running Costs'!$C$24*(SUMIF('3. HR &amp; Activity'!$C$10:$C$23,D5,'3. HR &amp; Activity'!$H$10:$H$23))/('4. Running Costs'!$C$23+'3. HR &amp; Activity'!$H$34+'3. HR &amp; Activity'!$H$35)/'1. Customers'!$C$11</f>
        <v/>
      </c>
      <c r="E13" s="30">
        <f>'4. Running Costs'!$C$24*(SUMIF('3. HR &amp; Activity'!$C$10:$C$23,E5,'3. HR &amp; Activity'!$H$10:$H$23))/('4. Running Costs'!$C$23+'3. HR &amp; Activity'!$H$34+'3. HR &amp; Activity'!$H$35)/'1. Customers'!$C$12</f>
        <v/>
      </c>
      <c r="F13" s="30">
        <f>'4. Running Costs'!$C$24*(SUMIF('3. HR &amp; Activity'!$C$10:$C$23,F5,'3. HR &amp; Activity'!$H$10:$H$23)+'3. HR &amp; Activity'!$G$41+'3. HR &amp; Activity'!$G$45)/('4. Running Costs'!$C$23+'3. HR &amp; Activity'!$H$34+'3. HR &amp; Activity'!$H$35)/'1. Customers'!$C$13</f>
        <v/>
      </c>
      <c r="G13" s="30">
        <f>'4. Running Costs'!$C$24*(SUMIF('3. HR &amp; Activity'!$C$10:$C$23,G5,'3. HR &amp; Activity'!$H$10:$H$23)+'3. HR &amp; Activity'!$G$40+'3. HR &amp; Activity'!$G$46)/('4. Running Costs'!$C$23+'3. HR &amp; Activity'!$H$34+'3. HR &amp; Activity'!$H$35)/'1. Customers'!$C$14</f>
        <v/>
      </c>
      <c r="H13" s="30">
        <f>'4. Running Costs'!$C$24*(SUMIF('3. HR &amp; Activity'!$C$10:$C$23,H5,'3. HR &amp; Activity'!$H$10:$H$23))/('4. Running Costs'!$C$23+'3. HR &amp; Activity'!$H$34+'3. HR &amp; Activity'!$H$35)/'1. Customers'!$C$15</f>
        <v/>
      </c>
      <c r="I13" s="30">
        <f>'4. Running Costs'!$C$24*(SUMIF('3. HR &amp; Activity'!$C$10:$C$23,I5,'3. HR &amp; Activity'!$H$10:$H$23))/('4. Running Costs'!$C$23+'3. HR &amp; Activity'!$H$34+'3. HR &amp; Activity'!$H$35)/'1. Customers'!$C$16</f>
        <v/>
      </c>
      <c r="J13" s="30">
        <f>'4. Running Costs'!$C$24/J6</f>
        <v/>
      </c>
    </row>
    <row r="14">
      <c r="B14" s="8" t="inlineStr">
        <is>
          <t>Customer &amp; account infrastructure per unit (driver-based)</t>
        </is>
      </c>
      <c r="C14" s="30">
        <f>'Inputs'!$C$103+'Inputs'!$C$110+'Inputs'!$C$109+'Inputs'!$C$108+'Inputs'!$C$107*'1. Customers'!$C$6/'1. Customers'!$C$10</f>
        <v/>
      </c>
      <c r="D14" s="30">
        <f>'Inputs'!$C$110</f>
        <v/>
      </c>
      <c r="E14" s="30">
        <f>'Inputs'!$C$110</f>
        <v/>
      </c>
      <c r="F14" s="30">
        <f>'Inputs'!$C$110+'Inputs'!$C$111</f>
        <v/>
      </c>
      <c r="G14" s="30">
        <f>'Inputs'!$C$110+'Inputs'!$C$111</f>
        <v/>
      </c>
      <c r="H14" s="30">
        <f>'Inputs'!$C$110+'Inputs'!$C$111</f>
        <v/>
      </c>
      <c r="I14" s="30">
        <f>0</f>
        <v/>
      </c>
      <c r="J14" s="30">
        <f>('4. Running Costs'!$C$7+'4. Running Costs'!$C$25+'4. Running Costs'!$C$26)/J6</f>
        <v/>
      </c>
    </row>
    <row r="15">
      <c r="B15" s="8" t="inlineStr">
        <is>
          <t>Fraud &amp; APP losses per unit (driver: current accounts)</t>
        </is>
      </c>
      <c r="C15" s="30">
        <f>'Inputs'!$C$112</f>
        <v/>
      </c>
      <c r="D15" s="30">
        <f>0</f>
        <v/>
      </c>
      <c r="E15" s="30">
        <f>0</f>
        <v/>
      </c>
      <c r="F15" s="30">
        <f>0</f>
        <v/>
      </c>
      <c r="G15" s="30">
        <f>0</f>
        <v/>
      </c>
      <c r="H15" s="30">
        <f>0</f>
        <v/>
      </c>
      <c r="I15" s="30">
        <f>0</f>
        <v/>
      </c>
      <c r="J15" s="30">
        <f>'4. Running Costs'!$C$8/J6</f>
        <v/>
      </c>
    </row>
    <row r="16">
      <c r="B16" s="8" t="inlineStr">
        <is>
          <t>FSCS levy per unit (driver: protected deposits)</t>
        </is>
      </c>
      <c r="C16" s="30">
        <f>'1. Customers'!$D$10*'Inputs'!$C$114*'Inputs'!$C$113</f>
        <v/>
      </c>
      <c r="D16" s="30">
        <f>'1. Customers'!$D$11*'Inputs'!$C$114*'Inputs'!$C$113</f>
        <v/>
      </c>
      <c r="E16" s="30">
        <f>'1. Customers'!$D$12*'Inputs'!$C$114*'Inputs'!$C$113</f>
        <v/>
      </c>
      <c r="F16" s="30">
        <f>0</f>
        <v/>
      </c>
      <c r="G16" s="30">
        <f>0</f>
        <v/>
      </c>
      <c r="H16" s="30">
        <f>0</f>
        <v/>
      </c>
      <c r="I16" s="30">
        <f>0</f>
        <v/>
      </c>
      <c r="J16" s="30">
        <f>'4. Running Costs'!$C$9/J6</f>
        <v/>
      </c>
    </row>
    <row r="17">
      <c r="B17" s="36" t="inlineStr">
        <is>
          <t>ATTRIBUTABLE COST PER UNIT</t>
        </is>
      </c>
      <c r="C17" s="31">
        <f>C9+C10+C11+C12+C13+C14+C15+C16</f>
        <v/>
      </c>
      <c r="D17" s="31">
        <f>D9+D10+D11+D12+D13+D14+D15+D16</f>
        <v/>
      </c>
      <c r="E17" s="31">
        <f>E9+E10+E11+E12+E13+E14+E15+E16</f>
        <v/>
      </c>
      <c r="F17" s="31">
        <f>F9+F10+F11+F12+F13+F14+F15+F16</f>
        <v/>
      </c>
      <c r="G17" s="31">
        <f>G9+G10+G11+G12+G13+G14+G15+G16</f>
        <v/>
      </c>
      <c r="H17" s="31">
        <f>H9+H10+H11+H12+H13+H14+H15+H16</f>
        <v/>
      </c>
      <c r="I17" s="31">
        <f>I9+I10+I11+I12+I13+I14+I15+I16</f>
        <v/>
      </c>
      <c r="J17" s="31">
        <f>J9+J10+J11+J12+J13+J14+J15+J16</f>
        <v/>
      </c>
    </row>
    <row r="18">
      <c r="B18" s="25" t="inlineStr">
        <is>
          <t>CONTRIBUTION PER UNIT (revenue − attributable cost)</t>
        </is>
      </c>
      <c r="C18" s="35">
        <f>C8-C17</f>
        <v/>
      </c>
      <c r="D18" s="35">
        <f>D8-D17</f>
        <v/>
      </c>
      <c r="E18" s="35">
        <f>E8-E17</f>
        <v/>
      </c>
      <c r="F18" s="35">
        <f>F8-F17</f>
        <v/>
      </c>
      <c r="G18" s="35">
        <f>G8-G17</f>
        <v/>
      </c>
      <c r="H18" s="35">
        <f>H8-H17</f>
        <v/>
      </c>
      <c r="I18" s="35">
        <f>I8-I17</f>
        <v/>
      </c>
      <c r="J18" s="35">
        <f>J8-J17</f>
        <v/>
      </c>
    </row>
    <row r="19">
      <c r="B19" s="8" t="inlineStr">
        <is>
          <t>Allocated equity per unit (credit + op-risk RWA × 13.5%)</t>
        </is>
      </c>
      <c r="C19" s="30">
        <f>'Inputs'!$C$70*C8*'Inputs'!$C$71</f>
        <v/>
      </c>
      <c r="D19" s="30">
        <f>'Inputs'!$C$70*D8*'Inputs'!$C$71</f>
        <v/>
      </c>
      <c r="E19" s="30">
        <f>'Inputs'!$C$70*E8*'Inputs'!$C$71</f>
        <v/>
      </c>
      <c r="F19" s="30">
        <f>('1. Customers'!$D$13*'Inputs'!$C$66+'Inputs'!$C$70*F8)*'Inputs'!$C$71</f>
        <v/>
      </c>
      <c r="G19" s="30">
        <f>('1. Customers'!$D$14*'Inputs'!$C$63+'Inputs'!$C$70*G8)*'Inputs'!$C$71</f>
        <v/>
      </c>
      <c r="H19" s="30">
        <f>('1. Customers'!$D$15*'Inputs'!$C$69+'Inputs'!$C$70*H8)*'Inputs'!$C$71</f>
        <v/>
      </c>
      <c r="I19" s="30">
        <f>'Inputs'!$C$70*I8*'Inputs'!$C$71</f>
        <v/>
      </c>
    </row>
    <row r="20">
      <c r="B20" s="8" t="inlineStr">
        <is>
          <t>Net capital charge per unit (equity × (CoE − Bank Rate))</t>
        </is>
      </c>
      <c r="C20" s="30">
        <f>C19*('Inputs'!$C$72-'Inputs'!$C$6)</f>
        <v/>
      </c>
      <c r="D20" s="30">
        <f>D19*('Inputs'!$C$72-'Inputs'!$C$6)</f>
        <v/>
      </c>
      <c r="E20" s="30">
        <f>E19*('Inputs'!$C$72-'Inputs'!$C$6)</f>
        <v/>
      </c>
      <c r="F20" s="30">
        <f>F19*('Inputs'!$C$72-'Inputs'!$C$6)</f>
        <v/>
      </c>
      <c r="G20" s="30">
        <f>G19*('Inputs'!$C$72-'Inputs'!$C$6)</f>
        <v/>
      </c>
      <c r="H20" s="30">
        <f>H19*('Inputs'!$C$72-'Inputs'!$C$6)</f>
        <v/>
      </c>
      <c r="I20" s="30">
        <f>I19*('Inputs'!$C$72-'Inputs'!$C$6)</f>
        <v/>
      </c>
    </row>
    <row r="21">
      <c r="B21" s="36" t="inlineStr">
        <is>
          <t>ECONOMIC CONTRIBUTION PER UNIT (pre-tax, before joint costs)</t>
        </is>
      </c>
      <c r="C21" s="31">
        <f>C18-C20</f>
        <v/>
      </c>
      <c r="D21" s="31">
        <f>D18-D20</f>
        <v/>
      </c>
      <c r="E21" s="31">
        <f>E18-E20</f>
        <v/>
      </c>
      <c r="F21" s="31">
        <f>F18-F20</f>
        <v/>
      </c>
      <c r="G21" s="31">
        <f>G18-G20</f>
        <v/>
      </c>
      <c r="H21" s="31">
        <f>H18-H20</f>
        <v/>
      </c>
      <c r="I21" s="31">
        <f>I18-I20</f>
        <v/>
      </c>
    </row>
    <row r="22">
      <c r="B22" s="8" t="inlineStr">
        <is>
          <t>Economic contribution margin (% of revenue; n/m if revenue ≤ 0)</t>
        </is>
      </c>
      <c r="C22" s="32">
        <f>IF(C8&lt;=0,"n/m",C21/C8)</f>
        <v/>
      </c>
      <c r="D22" s="32">
        <f>IF(D8&lt;=0,"n/m",D21/D8)</f>
        <v/>
      </c>
      <c r="E22" s="32">
        <f>IF(E8&lt;=0,"n/m",E21/E8)</f>
        <v/>
      </c>
      <c r="F22" s="32">
        <f>IF(F8&lt;=0,"n/m",F21/F8)</f>
        <v/>
      </c>
      <c r="G22" s="32">
        <f>IF(G8&lt;=0,"n/m",G21/G8)</f>
        <v/>
      </c>
      <c r="H22" s="32">
        <f>IF(H8&lt;=0,"n/m",H21/H8)</f>
        <v/>
      </c>
      <c r="I22" s="32">
        <f>IF(I8&lt;=0,"n/m",I21/I8)</f>
        <v/>
      </c>
    </row>
    <row r="23">
      <c r="B23" s="25" t="inlineStr">
        <is>
          <t>Total contribution (£/yr)</t>
        </is>
      </c>
      <c r="C23" s="35">
        <f>C18*C6</f>
        <v/>
      </c>
      <c r="D23" s="35">
        <f>D18*D6</f>
        <v/>
      </c>
      <c r="E23" s="35">
        <f>E18*E6</f>
        <v/>
      </c>
      <c r="F23" s="35">
        <f>F18*F6</f>
        <v/>
      </c>
      <c r="G23" s="35">
        <f>G18*G6</f>
        <v/>
      </c>
      <c r="H23" s="35">
        <f>H18*H6</f>
        <v/>
      </c>
      <c r="I23" s="35">
        <f>I18*I6</f>
        <v/>
      </c>
      <c r="J23" s="31">
        <f>SUM(C23:I23)</f>
        <v/>
      </c>
    </row>
    <row r="24">
      <c r="B24" s="25" t="inlineStr">
        <is>
          <t>Total economic contribution (£/yr)</t>
        </is>
      </c>
      <c r="C24" s="35">
        <f>C21*C6</f>
        <v/>
      </c>
      <c r="D24" s="35">
        <f>D21*D6</f>
        <v/>
      </c>
      <c r="E24" s="35">
        <f>E21*E6</f>
        <v/>
      </c>
      <c r="F24" s="35">
        <f>F21*F6</f>
        <v/>
      </c>
      <c r="G24" s="35">
        <f>G21*G6</f>
        <v/>
      </c>
      <c r="H24" s="35">
        <f>H21*H6</f>
        <v/>
      </c>
      <c r="I24" s="35">
        <f>I21*I6</f>
        <v/>
      </c>
      <c r="J24" s="31">
        <f>SUM(C24:I24)</f>
        <v/>
      </c>
    </row>
    <row r="26">
      <c r="B26" s="5" t="inlineStr">
        <is>
          <t>BRIDGE TO THE UNIT P&amp;L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>
      <c r="B27" s="8" t="inlineStr">
        <is>
          <t>Total contribution across products</t>
        </is>
      </c>
      <c r="C27" s="30">
        <f>J23</f>
        <v/>
      </c>
    </row>
    <row r="28">
      <c r="B28" s="8" t="inlineStr">
        <is>
          <t>Less: RM defence (retention spend held at centre level)</t>
        </is>
      </c>
      <c r="C28" s="30">
        <f>-'3. HR &amp; Activity'!$H$36</f>
        <v/>
      </c>
    </row>
    <row r="29">
      <c r="B29" s="8" t="inlineStr">
        <is>
          <t>Less: unallocated joint costs (no causal driver)</t>
        </is>
      </c>
      <c r="C29" s="30">
        <f>-'4. Running Costs'!$C$27</f>
        <v/>
      </c>
    </row>
    <row r="30">
      <c r="B30" s="8" t="inlineStr">
        <is>
          <t>Less: change-the-bank (portfolio hurdle)</t>
        </is>
      </c>
      <c r="C30" s="30">
        <f>-'4. Running Costs'!$C$18</f>
        <v/>
      </c>
    </row>
    <row r="31">
      <c r="B31" s="36" t="inlineStr">
        <is>
          <t>Operating profit before capital charges</t>
        </is>
      </c>
      <c r="C31" s="31">
        <f>C27+C28+C29+C30</f>
        <v/>
      </c>
    </row>
    <row r="32">
      <c r="B32" s="8" t="inlineStr">
        <is>
          <t>Check vs P&amp;L (income excl. equity benefit − EL − opex) — should be zero</t>
        </is>
      </c>
      <c r="C32" s="30">
        <f>C31-('2. Revenues'!$M$12-'5. Risk &amp; Capital'!$F$8-'4. Running Costs'!$C$19)</f>
        <v/>
      </c>
      <c r="D32" s="4" t="inlineStr">
        <is>
          <t>✓ must tie to ~0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54" customWidth="1" min="2" max="2"/>
    <col width="16" customWidth="1" min="3" max="3"/>
    <col width="13" customWidth="1" min="4" max="4"/>
    <col width="68" customWidth="1" min="5" max="5"/>
  </cols>
  <sheetData>
    <row r="1">
      <c r="B1" s="1" t="inlineStr">
        <is>
          <t>STEP 5 — WHOLE-COST P&amp;L: MERIDIAN BUSINESS BANKING AT STEADY STATE</t>
        </is>
      </c>
    </row>
    <row r="3">
      <c r="B3" s="8" t="inlineStr">
        <is>
          <t>Net interest income (vs funds transfer price)</t>
        </is>
      </c>
      <c r="C3" s="30">
        <f>'2. Revenues'!$K$12</f>
        <v/>
      </c>
    </row>
    <row r="4">
      <c r="B4" s="8" t="inlineStr">
        <is>
          <t>Fee &amp; commission income</t>
        </is>
      </c>
      <c r="C4" s="30">
        <f>'2. Revenues'!$L$12</f>
        <v/>
      </c>
    </row>
    <row r="5">
      <c r="B5" s="8" t="inlineStr">
        <is>
          <t>Equity investment benefit</t>
        </is>
      </c>
      <c r="C5" s="30">
        <f>'5. Risk &amp; Capital'!$C$16</f>
        <v/>
      </c>
      <c r="E5" s="10" t="inlineStr">
        <is>
          <t>Allocated equity earning Bank Rate</t>
        </is>
      </c>
    </row>
    <row r="6">
      <c r="B6" s="36" t="inlineStr">
        <is>
          <t>TOTAL OPERATING INCOME</t>
        </is>
      </c>
      <c r="C6" s="31">
        <f>'7. P&amp;L'!$C$3+'7. P&amp;L'!$C$4+'7. P&amp;L'!$C$5</f>
        <v/>
      </c>
    </row>
    <row r="7">
      <c r="B7" s="8" t="inlineStr">
        <is>
          <t>Expected credit losses</t>
        </is>
      </c>
      <c r="C7" s="30">
        <f>-'5. Risk &amp; Capital'!$F$8</f>
        <v/>
      </c>
    </row>
    <row r="8">
      <c r="B8" s="36" t="inlineStr">
        <is>
          <t>NET OPERATING INCOME</t>
        </is>
      </c>
      <c r="C8" s="31">
        <f>'7. P&amp;L'!$C$6+'7. P&amp;L'!$C$7</f>
        <v/>
      </c>
    </row>
    <row r="9">
      <c r="B9" s="8" t="inlineStr">
        <is>
          <t>Staff costs (unit)</t>
        </is>
      </c>
      <c r="C9" s="30">
        <f>-'4. Running Costs'!$C$3</f>
        <v/>
      </c>
    </row>
    <row r="10">
      <c r="B10" s="8" t="inlineStr">
        <is>
          <t>Premises &amp; depreciation</t>
        </is>
      </c>
      <c r="C10" s="30">
        <f>-'4. Running Costs'!$C$4-'4. Running Costs'!$C$5</f>
        <v/>
      </c>
    </row>
    <row r="11">
      <c r="B11" s="8" t="inlineStr">
        <is>
          <t>Other direct costs &amp; unit platform</t>
        </is>
      </c>
      <c r="C11" s="30">
        <f>-'4. Running Costs'!$C$6-'4. Running Costs'!$C$7</f>
        <v/>
      </c>
    </row>
    <row r="12">
      <c r="B12" s="8" t="inlineStr">
        <is>
          <t>Fraud &amp; payment losses (incl. APP reimbursement)</t>
        </is>
      </c>
      <c r="C12" s="30">
        <f>-'4. Running Costs'!$C$8</f>
        <v/>
      </c>
    </row>
    <row r="13">
      <c r="B13" s="8" t="inlineStr">
        <is>
          <t>FSCS deposit-protection levy</t>
        </is>
      </c>
      <c r="C13" s="30">
        <f>-'4. Running Costs'!$C$9</f>
        <v/>
      </c>
    </row>
    <row r="14">
      <c r="B14" s="8" t="inlineStr">
        <is>
          <t>Share of head-office costs</t>
        </is>
      </c>
      <c r="C14" s="30">
        <f>-'4. Running Costs'!$C$16</f>
        <v/>
      </c>
    </row>
    <row r="15">
      <c r="B15" s="8" t="inlineStr">
        <is>
          <t>Change-the-bank / transformation</t>
        </is>
      </c>
      <c r="C15" s="30">
        <f>-'4. Running Costs'!$C$18</f>
        <v/>
      </c>
      <c r="E15" s="10" t="inlineStr">
        <is>
          <t>Portfolio hurdle — not attributed to products</t>
        </is>
      </c>
    </row>
    <row r="16">
      <c r="B16" s="36" t="inlineStr">
        <is>
          <t>TOTAL OPERATING COSTS</t>
        </is>
      </c>
      <c r="C16" s="31">
        <f>'7. P&amp;L'!$C$9+'7. P&amp;L'!$C$10+'7. P&amp;L'!$C$11+'7. P&amp;L'!$C$12+'7. P&amp;L'!$C$13+'7. P&amp;L'!$C$14+'7. P&amp;L'!$C$15</f>
        <v/>
      </c>
    </row>
    <row r="17">
      <c r="B17" s="36" t="inlineStr">
        <is>
          <t>PROFIT BEFORE TAX</t>
        </is>
      </c>
      <c r="C17" s="31">
        <f>'7. P&amp;L'!$C$8+'7. P&amp;L'!$C$16</f>
        <v/>
      </c>
    </row>
    <row r="18">
      <c r="B18" s="8" t="inlineStr">
        <is>
          <t>Tax (28%)</t>
        </is>
      </c>
      <c r="C18" s="30">
        <f>-'7. P&amp;L'!$C$17*'Inputs'!$C$73</f>
        <v/>
      </c>
    </row>
    <row r="19">
      <c r="B19" s="36" t="inlineStr">
        <is>
          <t>PROFIT AFTER TAX</t>
        </is>
      </c>
      <c r="C19" s="31">
        <f>'7. P&amp;L'!$C$17+'7. P&amp;L'!$C$18</f>
        <v/>
      </c>
    </row>
    <row r="20">
      <c r="B20" s="8" t="inlineStr">
        <is>
          <t>Required return on allocated equity</t>
        </is>
      </c>
      <c r="C20" s="30">
        <f>-'5. Risk &amp; Capital'!$C$17</f>
        <v/>
      </c>
      <c r="E20" s="10" t="inlineStr">
        <is>
          <t>Second-level investment cost: what shareholders must earn (11.5% CoE)</t>
        </is>
      </c>
    </row>
    <row r="21">
      <c r="B21" s="47" t="inlineStr">
        <is>
          <t>ECONOMIC PROFIT (value created above cost of equity)</t>
        </is>
      </c>
      <c r="C21" s="44">
        <f>'7. P&amp;L'!$C$19+'7. P&amp;L'!$C$20</f>
        <v/>
      </c>
    </row>
    <row r="23">
      <c r="B23" s="5" t="inlineStr">
        <is>
          <t>KEY RATIOS</t>
        </is>
      </c>
      <c r="C23" s="6" t="inlineStr"/>
      <c r="D23" s="6" t="inlineStr"/>
      <c r="E23" s="6" t="inlineStr"/>
    </row>
    <row r="24">
      <c r="B24" s="8" t="inlineStr">
        <is>
          <t>Customers</t>
        </is>
      </c>
      <c r="C24" s="27">
        <f>'1. Customers'!$C$4</f>
        <v/>
      </c>
    </row>
    <row r="25">
      <c r="B25" s="8" t="inlineStr">
        <is>
          <t>Revenue per customer</t>
        </is>
      </c>
      <c r="C25" s="30">
        <f>'7. P&amp;L'!$C$6/'1. Customers'!$C$4</f>
        <v/>
      </c>
    </row>
    <row r="26">
      <c r="B26" s="8" t="inlineStr">
        <is>
          <t>Operating cost per customer</t>
        </is>
      </c>
      <c r="C26" s="30">
        <f>-'7. P&amp;L'!$C$16/'1. Customers'!$C$4</f>
        <v/>
      </c>
    </row>
    <row r="27">
      <c r="B27" s="8" t="inlineStr">
        <is>
          <t>Cost:income ratio</t>
        </is>
      </c>
      <c r="C27" s="32">
        <f>-'7. P&amp;L'!$C$16/'7. P&amp;L'!$C$6</f>
        <v/>
      </c>
    </row>
    <row r="28">
      <c r="B28" s="8" t="inlineStr">
        <is>
          <t>Cost of risk (EL / lending balances)</t>
        </is>
      </c>
      <c r="C28" s="11">
        <f>-'7. P&amp;L'!$C$7/'1. Customers'!$E$18</f>
        <v/>
      </c>
    </row>
    <row r="29">
      <c r="B29" s="8" t="inlineStr">
        <is>
          <t>Return on allocated equity (RoE)</t>
        </is>
      </c>
      <c r="C29" s="32">
        <f>'7. P&amp;L'!$C$19/'5. Risk &amp; Capital'!$C$15</f>
        <v/>
      </c>
      <c r="E29" s="10" t="inlineStr">
        <is>
          <t>Compare to the 11.5% cost of equity — below it, the unit destroys value</t>
        </is>
      </c>
    </row>
    <row r="30">
      <c r="B30" s="8" t="inlineStr">
        <is>
          <t>Loan-to-deposit ratio</t>
        </is>
      </c>
      <c r="C30" s="32">
        <f>'1. Customers'!$E$18/'1. Customers'!$E$17</f>
        <v/>
      </c>
    </row>
    <row r="32">
      <c r="B32" s="5" t="inlineStr">
        <is>
          <t>MISSING-INPUT BANDS — PRE-TAX P&amp;L SWING (flag-and-band, never silently invented)</t>
        </is>
      </c>
      <c r="C32" s="6" t="inlineStr"/>
      <c r="D32" s="6" t="inlineStr"/>
      <c r="E32" s="6" t="inlineStr"/>
    </row>
    <row r="33">
      <c r="B33" s="7" t="inlineStr">
        <is>
          <t>Flagged input</t>
        </is>
      </c>
      <c r="C33" s="7" t="inlineStr">
        <is>
          <t>Swing low→high (£/yr pre-tax)</t>
        </is>
      </c>
      <c r="D33" s="7" t="inlineStr"/>
      <c r="E33" s="7" t="inlineStr">
        <is>
          <t>How it enters</t>
        </is>
      </c>
    </row>
    <row r="34">
      <c r="B34" s="15" t="inlineStr">
        <is>
          <t>MISSING #1 — card interchange rate [1.65%, 1.90%]</t>
        </is>
      </c>
      <c r="C34" s="48">
        <f>('Inputs'!$F$56-'Inputs'!$E$56)*'Inputs'!$C$37*12*'1. Customers'!$C$15</f>
        <v/>
      </c>
      <c r="E34" s="10" t="inlineStr">
        <is>
          <t>Fee revenue on card spend; central 1.775% used in the model</t>
        </is>
      </c>
    </row>
    <row r="35">
      <c r="B35" s="15" t="inlineStr">
        <is>
          <t>MISSING #2 — workout hours/case [4, 12]</t>
        </is>
      </c>
      <c r="C35" s="48">
        <f>('Inputs'!$F$95-'Inputs'!$E$95)*'1. Customers'!$C$14*'Inputs'!$C$92*'3. HR &amp; Activity'!$C$5</f>
        <v/>
      </c>
      <c r="E35" s="10" t="inlineStr">
        <is>
          <t>Analyst cost on defaulted term loans; central 8h used</t>
        </is>
      </c>
    </row>
    <row r="36">
      <c r="B36" s="15" t="inlineStr">
        <is>
          <t>MISSING #3 — RM time-split originate [40%, 60%]</t>
        </is>
      </c>
      <c r="C36" s="48" t="n">
        <v>0</v>
      </c>
      <c r="E36" s="10" t="inlineStr">
        <is>
          <t>Attribution-only: moves RM cost BETWEEN products (loan CAC vs OD renewal cost); total P&amp;L unchanged. Central 50/30/20 used.</t>
        </is>
      </c>
    </row>
    <row r="37">
      <c r="B37" s="15" t="inlineStr">
        <is>
          <t>GAP FOUND — BCA credit interest [0%, 0.5%]</t>
        </is>
      </c>
      <c r="C37" s="48">
        <f>('Inputs'!$F$45-'Inputs'!$E$45)*'1. Customers'!$E$10</f>
        <v/>
      </c>
      <c r="E37" s="10" t="inlineStr">
        <is>
          <t>Interest cost on £630m of BCA balances; 0% assumed</t>
        </is>
      </c>
    </row>
    <row r="38">
      <c r="B38" s="15" t="inlineStr">
        <is>
          <t>GAP FOUND — FX conversion margin [0.25%, 1.5%]</t>
        </is>
      </c>
      <c r="C38" s="48">
        <f>('Inputs'!$F$57-'Inputs'!$E$57)*'Inputs'!$C$41*'1. Customers'!$C$16</f>
        <v/>
      </c>
      <c r="E38" s="10" t="inlineStr">
        <is>
          <t>FX revenue on ~£405m conversion volume; 0.75% assumed — the widest band in the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9" customWidth="1" min="2" max="2"/>
    <col width="17" customWidth="1" min="3" max="3"/>
    <col width="6" customWidth="1" min="4" max="4"/>
    <col width="9" customWidth="1" min="5" max="5"/>
    <col width="34" customWidth="1" min="6" max="6"/>
    <col width="36" customWidth="1" min="7" max="7"/>
    <col width="12" customWidth="1" min="8" max="8"/>
    <col width="9" customWidth="1" min="9" max="9"/>
    <col width="18" customWidth="1" min="10" max="10"/>
    <col width="14" customWidth="1" min="11" max="11"/>
    <col width="16" customWidth="1" min="12" max="12"/>
    <col width="42" customWidth="1" min="13" max="13"/>
  </cols>
  <sheetData>
    <row r="1">
      <c r="B1" s="1" t="inlineStr">
        <is>
          <t>FLOW REGISTER — PORTFOLIO OF 4-D PRODUCTS ON A SHARED PLATFORM</t>
        </is>
      </c>
    </row>
    <row r="2">
      <c r="B2" s="4" t="inlineStr">
        <is>
          <t>One row per flow. Each product's working product is DERIVED from its CTM state change (meridian_ctm.md); the shared platform serves every product. Partners are pass-through waypoints; the three boundary actors always appear.</t>
        </is>
      </c>
    </row>
    <row r="4">
      <c r="B4" s="29" t="inlineStr">
        <is>
          <t>Flow</t>
        </is>
      </c>
      <c r="C4" s="29" t="inlineStr">
        <is>
          <t>Product</t>
        </is>
      </c>
      <c r="D4" s="29" t="inlineStr">
        <is>
          <t>Type</t>
        </is>
      </c>
      <c r="E4" s="29" t="inlineStr">
        <is>
          <t>Category</t>
        </is>
      </c>
      <c r="F4" s="29" t="inlineStr">
        <is>
          <t>Name</t>
        </is>
      </c>
      <c r="G4" s="29" t="inlineStr">
        <is>
          <t>State change driven (from CTM)</t>
        </is>
      </c>
      <c r="H4" s="29" t="inlineStr">
        <is>
          <t>Direction</t>
        </is>
      </c>
      <c r="I4" s="29" t="inlineStr">
        <is>
          <t>Medium</t>
        </is>
      </c>
      <c r="J4" s="29" t="inlineStr">
        <is>
          <t>Direct producer</t>
        </is>
      </c>
      <c r="K4" s="29" t="inlineStr">
        <is>
          <t>DRI (single accountable owner)</t>
        </is>
      </c>
    </row>
    <row r="5">
      <c r="B5" s="25" t="inlineStr">
        <is>
          <t>CP1</t>
        </is>
      </c>
      <c r="C5" s="8" t="inlineStr">
        <is>
          <t>Shared platform</t>
        </is>
      </c>
      <c r="D5" s="8" t="inlineStr">
        <is>
          <t>CP</t>
        </is>
      </c>
      <c r="E5" s="8" t="inlineStr">
        <is>
          <t>Comms</t>
        </is>
      </c>
      <c r="F5" s="3" t="inlineStr">
        <is>
          <t>Marketing &amp; brand</t>
        </is>
      </c>
      <c r="G5" s="3" t="inlineStr">
        <is>
          <t>—</t>
        </is>
      </c>
      <c r="H5" s="8" t="inlineStr">
        <is>
          <t>HQ-&gt;cust</t>
        </is>
      </c>
      <c r="I5" s="8" t="inlineStr">
        <is>
          <t>digital</t>
        </is>
      </c>
      <c r="J5" s="8" t="inlineStr">
        <is>
          <t>Marketing</t>
        </is>
      </c>
      <c r="K5" s="8" t="inlineStr">
        <is>
          <t>Head of Marketing</t>
        </is>
      </c>
    </row>
    <row r="6">
      <c r="B6" s="25" t="inlineStr">
        <is>
          <t>CA-WP</t>
        </is>
      </c>
      <c r="C6" s="8" t="inlineStr">
        <is>
          <t>Current account</t>
        </is>
      </c>
      <c r="D6" s="8" t="inlineStr">
        <is>
          <t>WP</t>
        </is>
      </c>
      <c r="E6" s="8" t="inlineStr">
        <is>
          <t>Core</t>
        </is>
      </c>
      <c r="F6" s="3" t="inlineStr">
        <is>
          <t>Hold &amp; use day-to-day money</t>
        </is>
      </c>
      <c r="G6" s="3" t="inlineStr">
        <is>
          <t>Money mixed &amp; ad hoc -&gt; held safe, usable on demand</t>
        </is>
      </c>
      <c r="H6" s="8" t="inlineStr">
        <is>
          <t>HQ-&gt;cust</t>
        </is>
      </c>
      <c r="I6" s="8" t="inlineStr">
        <is>
          <t>digital</t>
        </is>
      </c>
      <c r="J6" s="8" t="inlineStr">
        <is>
          <t>Service &amp; ops</t>
        </is>
      </c>
      <c r="K6" s="8" t="inlineStr">
        <is>
          <t>Head of Business Current Accounts</t>
        </is>
      </c>
    </row>
    <row r="7">
      <c r="B7" s="25" t="inlineStr">
        <is>
          <t>CA-PP1</t>
        </is>
      </c>
      <c r="C7" s="8" t="inlineStr">
        <is>
          <t>Current account</t>
        </is>
      </c>
      <c r="D7" s="8" t="inlineStr">
        <is>
          <t>PP</t>
        </is>
      </c>
      <c r="E7" s="8" t="inlineStr">
        <is>
          <t>Money</t>
        </is>
      </c>
      <c r="F7" s="3" t="inlineStr">
        <is>
          <t>Account fees &amp; txn income</t>
        </is>
      </c>
      <c r="G7" s="3" t="inlineStr">
        <is>
          <t>—</t>
        </is>
      </c>
      <c r="H7" s="8" t="inlineStr">
        <is>
          <t>cust-&gt;HQ</t>
        </is>
      </c>
      <c r="I7" s="8" t="inlineStr">
        <is>
          <t>digital</t>
        </is>
      </c>
      <c r="J7" s="8" t="inlineStr">
        <is>
          <t>Payments ops</t>
        </is>
      </c>
      <c r="K7" s="8" t="inlineStr">
        <is>
          <t>Head of Business Current Accounts</t>
        </is>
      </c>
    </row>
    <row r="8">
      <c r="B8" s="25" t="inlineStr">
        <is>
          <t>SV-WP</t>
        </is>
      </c>
      <c r="C8" s="8" t="inlineStr">
        <is>
          <t>Savings &amp; deposits</t>
        </is>
      </c>
      <c r="D8" s="8" t="inlineStr">
        <is>
          <t>WP</t>
        </is>
      </c>
      <c r="E8" s="8" t="inlineStr">
        <is>
          <t>Core</t>
        </is>
      </c>
      <c r="F8" s="3" t="inlineStr">
        <is>
          <t>Interest-earning safe store (instant + 1yr fixed)</t>
        </is>
      </c>
      <c r="G8" s="3" t="inlineStr">
        <is>
          <t>Surplus idle -&gt; surplus earning</t>
        </is>
      </c>
      <c r="H8" s="8" t="inlineStr">
        <is>
          <t>HQ-&gt;cust</t>
        </is>
      </c>
      <c r="I8" s="8" t="inlineStr">
        <is>
          <t>digital</t>
        </is>
      </c>
      <c r="J8" s="8" t="inlineStr">
        <is>
          <t>Service &amp; ops</t>
        </is>
      </c>
      <c r="K8" s="8" t="inlineStr">
        <is>
          <t>Head of Deposits</t>
        </is>
      </c>
    </row>
    <row r="9">
      <c r="B9" s="25" t="inlineStr">
        <is>
          <t>SV-PP1</t>
        </is>
      </c>
      <c r="C9" s="8" t="inlineStr">
        <is>
          <t>Savings &amp; deposits</t>
        </is>
      </c>
      <c r="D9" s="8" t="inlineStr">
        <is>
          <t>PP</t>
        </is>
      </c>
      <c r="E9" s="8" t="inlineStr">
        <is>
          <t>Money</t>
        </is>
      </c>
      <c r="F9" s="3" t="inlineStr">
        <is>
          <t>Deposits placed</t>
        </is>
      </c>
      <c r="G9" s="3" t="inlineStr">
        <is>
          <t>—</t>
        </is>
      </c>
      <c r="H9" s="8" t="inlineStr">
        <is>
          <t>cust-&gt;HQ</t>
        </is>
      </c>
      <c r="I9" s="8" t="inlineStr">
        <is>
          <t>digital</t>
        </is>
      </c>
      <c r="J9" s="8" t="inlineStr">
        <is>
          <t>Treasury</t>
        </is>
      </c>
      <c r="K9" s="8" t="inlineStr">
        <is>
          <t>Treasurer</t>
        </is>
      </c>
    </row>
    <row r="10">
      <c r="B10" s="25" t="inlineStr">
        <is>
          <t>SV-PP2</t>
        </is>
      </c>
      <c r="C10" s="8" t="inlineStr">
        <is>
          <t>Savings &amp; deposits</t>
        </is>
      </c>
      <c r="D10" s="8" t="inlineStr">
        <is>
          <t>PP</t>
        </is>
      </c>
      <c r="E10" s="8" t="inlineStr">
        <is>
          <t>Money</t>
        </is>
      </c>
      <c r="F10" s="3" t="inlineStr">
        <is>
          <t>Interest paid</t>
        </is>
      </c>
      <c r="G10" s="3" t="inlineStr">
        <is>
          <t>—</t>
        </is>
      </c>
      <c r="H10" s="8" t="inlineStr">
        <is>
          <t>HQ-&gt;cust</t>
        </is>
      </c>
      <c r="I10" s="8" t="inlineStr">
        <is>
          <t>digital</t>
        </is>
      </c>
      <c r="J10" s="8" t="inlineStr">
        <is>
          <t>Treasury</t>
        </is>
      </c>
      <c r="K10" s="8" t="inlineStr">
        <is>
          <t>Treasurer</t>
        </is>
      </c>
    </row>
    <row r="11">
      <c r="B11" s="25" t="inlineStr">
        <is>
          <t>LN-WP</t>
        </is>
      </c>
      <c r="C11" s="8" t="inlineStr">
        <is>
          <t>Lending &amp; credit</t>
        </is>
      </c>
      <c r="D11" s="8" t="inlineStr">
        <is>
          <t>WP</t>
        </is>
      </c>
      <c r="E11" s="8" t="inlineStr">
        <is>
          <t>Core</t>
        </is>
      </c>
      <c r="F11" s="3" t="inlineStr">
        <is>
          <t>Credit facility (term loan · overdraft)</t>
        </is>
      </c>
      <c r="G11" s="3" t="inlineStr">
        <is>
          <t>Opportunity unfundable -&gt; funded</t>
        </is>
      </c>
      <c r="H11" s="8" t="inlineStr">
        <is>
          <t>HQ-&gt;cust</t>
        </is>
      </c>
      <c r="I11" s="8" t="inlineStr">
        <is>
          <t>physical</t>
        </is>
      </c>
      <c r="J11" s="8" t="inlineStr">
        <is>
          <t>RM · Credit analyst</t>
        </is>
      </c>
      <c r="K11" s="8" t="inlineStr">
        <is>
          <t>Credit Director</t>
        </is>
      </c>
    </row>
    <row r="12">
      <c r="B12" s="25" t="inlineStr">
        <is>
          <t>LN-PP1</t>
        </is>
      </c>
      <c r="C12" s="8" t="inlineStr">
        <is>
          <t>Lending &amp; credit</t>
        </is>
      </c>
      <c r="D12" s="8" t="inlineStr">
        <is>
          <t>PP</t>
        </is>
      </c>
      <c r="E12" s="8" t="inlineStr">
        <is>
          <t>Money</t>
        </is>
      </c>
      <c r="F12" s="3" t="inlineStr">
        <is>
          <t>Drawdown</t>
        </is>
      </c>
      <c r="G12" s="3" t="inlineStr">
        <is>
          <t>—</t>
        </is>
      </c>
      <c r="H12" s="8" t="inlineStr">
        <is>
          <t>HQ-&gt;cust</t>
        </is>
      </c>
      <c r="I12" s="8" t="inlineStr">
        <is>
          <t>digital</t>
        </is>
      </c>
      <c r="J12" s="8" t="inlineStr">
        <is>
          <t>Treasury</t>
        </is>
      </c>
      <c r="K12" s="8" t="inlineStr">
        <is>
          <t>Treasurer</t>
        </is>
      </c>
    </row>
    <row r="13">
      <c r="B13" s="25" t="inlineStr">
        <is>
          <t>LN-PP2</t>
        </is>
      </c>
      <c r="C13" s="8" t="inlineStr">
        <is>
          <t>Lending &amp; credit</t>
        </is>
      </c>
      <c r="D13" s="8" t="inlineStr">
        <is>
          <t>PP</t>
        </is>
      </c>
      <c r="E13" s="8" t="inlineStr">
        <is>
          <t>Money</t>
        </is>
      </c>
      <c r="F13" s="3" t="inlineStr">
        <is>
          <t>Repayments &amp; interest</t>
        </is>
      </c>
      <c r="G13" s="3" t="inlineStr">
        <is>
          <t>—</t>
        </is>
      </c>
      <c r="H13" s="8" t="inlineStr">
        <is>
          <t>cust-&gt;HQ</t>
        </is>
      </c>
      <c r="I13" s="8" t="inlineStr">
        <is>
          <t>digital</t>
        </is>
      </c>
      <c r="J13" s="8" t="inlineStr">
        <is>
          <t>Payments ops</t>
        </is>
      </c>
      <c r="K13" s="8" t="inlineStr">
        <is>
          <t>Head of Payments &amp; FX</t>
        </is>
      </c>
    </row>
    <row r="14">
      <c r="B14" s="25" t="inlineStr">
        <is>
          <t>CC-WP</t>
        </is>
      </c>
      <c r="C14" s="8" t="inlineStr">
        <is>
          <t>Business credit card</t>
        </is>
      </c>
      <c r="D14" s="8" t="inlineStr">
        <is>
          <t>WP</t>
        </is>
      </c>
      <c r="E14" s="8" t="inlineStr">
        <is>
          <t>Core</t>
        </is>
      </c>
      <c r="F14" s="3" t="inlineStr">
        <is>
          <t>Revolving credit line</t>
        </is>
      </c>
      <c r="G14" s="3" t="inlineStr">
        <is>
          <t>Spend blocked by cash timing -&gt; enabled on credit</t>
        </is>
      </c>
      <c r="H14" s="8" t="inlineStr">
        <is>
          <t>HQ-&gt;cust</t>
        </is>
      </c>
      <c r="I14" s="8" t="inlineStr">
        <is>
          <t>digital</t>
        </is>
      </c>
      <c r="J14" s="8" t="inlineStr">
        <is>
          <t>Service &amp; ops</t>
        </is>
      </c>
      <c r="K14" s="8" t="inlineStr">
        <is>
          <t>Head of Cards</t>
        </is>
      </c>
    </row>
    <row r="15">
      <c r="B15" s="25" t="inlineStr">
        <is>
          <t>CC-PP1</t>
        </is>
      </c>
      <c r="C15" s="8" t="inlineStr">
        <is>
          <t>Business credit card</t>
        </is>
      </c>
      <c r="D15" s="8" t="inlineStr">
        <is>
          <t>PP</t>
        </is>
      </c>
      <c r="E15" s="8" t="inlineStr">
        <is>
          <t>Money</t>
        </is>
      </c>
      <c r="F15" s="3" t="inlineStr">
        <is>
          <t>Spend settled</t>
        </is>
      </c>
      <c r="G15" s="3" t="inlineStr">
        <is>
          <t>—</t>
        </is>
      </c>
      <c r="H15" s="8" t="inlineStr">
        <is>
          <t>HQ-&gt;cust</t>
        </is>
      </c>
      <c r="I15" s="8" t="inlineStr">
        <is>
          <t>digital</t>
        </is>
      </c>
      <c r="J15" s="8" t="inlineStr">
        <is>
          <t>Payments ops</t>
        </is>
      </c>
      <c r="K15" s="8" t="inlineStr">
        <is>
          <t>Head of Cards</t>
        </is>
      </c>
    </row>
    <row r="16">
      <c r="B16" s="25" t="inlineStr">
        <is>
          <t>CC-PP2</t>
        </is>
      </c>
      <c r="C16" s="8" t="inlineStr">
        <is>
          <t>Business credit card</t>
        </is>
      </c>
      <c r="D16" s="8" t="inlineStr">
        <is>
          <t>PP</t>
        </is>
      </c>
      <c r="E16" s="8" t="inlineStr">
        <is>
          <t>Money</t>
        </is>
      </c>
      <c r="F16" s="3" t="inlineStr">
        <is>
          <t>Repayments &amp; interchange (rate = MISSING #1, banded)</t>
        </is>
      </c>
      <c r="G16" s="3" t="inlineStr">
        <is>
          <t>—</t>
        </is>
      </c>
      <c r="H16" s="8" t="inlineStr">
        <is>
          <t>cust-&gt;HQ</t>
        </is>
      </c>
      <c r="I16" s="8" t="inlineStr">
        <is>
          <t>digital</t>
        </is>
      </c>
      <c r="J16" s="8" t="inlineStr">
        <is>
          <t>Payments ops</t>
        </is>
      </c>
      <c r="K16" s="8" t="inlineStr">
        <is>
          <t>Head of Cards</t>
        </is>
      </c>
    </row>
    <row r="17">
      <c r="B17" s="25" t="inlineStr">
        <is>
          <t>PX-WP</t>
        </is>
      </c>
      <c r="C17" s="8" t="inlineStr">
        <is>
          <t>Payments &amp; FX</t>
        </is>
      </c>
      <c r="D17" s="8" t="inlineStr">
        <is>
          <t>WP</t>
        </is>
      </c>
      <c r="E17" s="8" t="inlineStr">
        <is>
          <t>Core</t>
        </is>
      </c>
      <c r="F17" s="3" t="inlineStr">
        <is>
          <t>Money movement service</t>
        </is>
      </c>
      <c r="G17" s="3" t="inlineStr">
        <is>
          <t>Obligation unpaid or slow -&gt; paid, anywhere</t>
        </is>
      </c>
      <c r="H17" s="8" t="inlineStr">
        <is>
          <t>HQ-&gt;cust</t>
        </is>
      </c>
      <c r="I17" s="8" t="inlineStr">
        <is>
          <t>digital</t>
        </is>
      </c>
      <c r="J17" s="8" t="inlineStr">
        <is>
          <t>Payments ops</t>
        </is>
      </c>
      <c r="K17" s="8" t="inlineStr">
        <is>
          <t>Head of Payments &amp; FX</t>
        </is>
      </c>
    </row>
    <row r="18">
      <c r="B18" s="25" t="inlineStr">
        <is>
          <t>PX-PP1</t>
        </is>
      </c>
      <c r="C18" s="8" t="inlineStr">
        <is>
          <t>Payments &amp; FX</t>
        </is>
      </c>
      <c r="D18" s="8" t="inlineStr">
        <is>
          <t>PP</t>
        </is>
      </c>
      <c r="E18" s="8" t="inlineStr">
        <is>
          <t>Money</t>
        </is>
      </c>
      <c r="F18" s="3" t="inlineStr">
        <is>
          <t>Payments out</t>
        </is>
      </c>
      <c r="G18" s="3" t="inlineStr">
        <is>
          <t>—</t>
        </is>
      </c>
      <c r="H18" s="8" t="inlineStr">
        <is>
          <t>HQ-&gt;cust</t>
        </is>
      </c>
      <c r="I18" s="8" t="inlineStr">
        <is>
          <t>digital</t>
        </is>
      </c>
      <c r="J18" s="8" t="inlineStr">
        <is>
          <t>Payments ops</t>
        </is>
      </c>
      <c r="K18" s="8" t="inlineStr">
        <is>
          <t>Head of Payments &amp; FX</t>
        </is>
      </c>
    </row>
    <row r="19">
      <c r="B19" s="25" t="inlineStr">
        <is>
          <t>PX-PP2</t>
        </is>
      </c>
      <c r="C19" s="8" t="inlineStr">
        <is>
          <t>Payments &amp; FX</t>
        </is>
      </c>
      <c r="D19" s="8" t="inlineStr">
        <is>
          <t>PP</t>
        </is>
      </c>
      <c r="E19" s="8" t="inlineStr">
        <is>
          <t>Money</t>
        </is>
      </c>
      <c r="F19" s="3" t="inlineStr">
        <is>
          <t>Receipts, FX margin &amp; fees</t>
        </is>
      </c>
      <c r="G19" s="3" t="inlineStr">
        <is>
          <t>—</t>
        </is>
      </c>
      <c r="H19" s="8" t="inlineStr">
        <is>
          <t>cust-&gt;HQ</t>
        </is>
      </c>
      <c r="I19" s="8" t="inlineStr">
        <is>
          <t>digital</t>
        </is>
      </c>
      <c r="J19" s="8" t="inlineStr">
        <is>
          <t>Payments ops</t>
        </is>
      </c>
      <c r="K19" s="8" t="inlineStr">
        <is>
          <t>Head of Payments &amp; FX</t>
        </is>
      </c>
    </row>
    <row r="20">
      <c r="B20" s="25" t="inlineStr">
        <is>
          <t>E1</t>
        </is>
      </c>
      <c r="C20" s="8" t="inlineStr">
        <is>
          <t>Shared platform</t>
        </is>
      </c>
      <c r="D20" s="8" t="inlineStr">
        <is>
          <t>WP</t>
        </is>
      </c>
      <c r="E20" s="8" t="inlineStr">
        <is>
          <t>Enabling</t>
        </is>
      </c>
      <c r="F20" s="3" t="inlineStr">
        <is>
          <t>App / online banking</t>
        </is>
      </c>
      <c r="G20" s="3" t="inlineStr">
        <is>
          <t>—</t>
        </is>
      </c>
      <c r="H20" s="8" t="inlineStr">
        <is>
          <t>HQ&lt;-&gt;cust</t>
        </is>
      </c>
      <c r="I20" s="8" t="inlineStr">
        <is>
          <t>digital</t>
        </is>
      </c>
      <c r="J20" s="8" t="inlineStr">
        <is>
          <t>Digital · IT</t>
        </is>
      </c>
      <c r="K20" s="8" t="inlineStr">
        <is>
          <t>Head of Digital</t>
        </is>
      </c>
    </row>
    <row r="21">
      <c r="B21" s="25" t="inlineStr">
        <is>
          <t>E2</t>
        </is>
      </c>
      <c r="C21" s="8" t="inlineStr">
        <is>
          <t>Shared platform</t>
        </is>
      </c>
      <c r="D21" s="8" t="inlineStr">
        <is>
          <t>WP</t>
        </is>
      </c>
      <c r="E21" s="8" t="inlineStr">
        <is>
          <t>Enabling</t>
        </is>
      </c>
      <c r="F21" s="3" t="inlineStr">
        <is>
          <t>Debit card (instrument of CA — no own state change)</t>
        </is>
      </c>
      <c r="G21" s="3" t="inlineStr">
        <is>
          <t>—</t>
        </is>
      </c>
      <c r="H21" s="8" t="inlineStr">
        <is>
          <t>HQ-&gt;cust</t>
        </is>
      </c>
      <c r="I21" s="8" t="inlineStr">
        <is>
          <t>digital</t>
        </is>
      </c>
      <c r="J21" s="8" t="inlineStr">
        <is>
          <t>Service &amp; ops</t>
        </is>
      </c>
      <c r="K21" s="8" t="inlineStr">
        <is>
          <t>Head of Business Current Accounts</t>
        </is>
      </c>
    </row>
    <row r="22">
      <c r="B22" s="25" t="inlineStr">
        <is>
          <t>E3</t>
        </is>
      </c>
      <c r="C22" s="8" t="inlineStr">
        <is>
          <t>Shared platform</t>
        </is>
      </c>
      <c r="D22" s="8" t="inlineStr">
        <is>
          <t>WP</t>
        </is>
      </c>
      <c r="E22" s="8" t="inlineStr">
        <is>
          <t>Enabling</t>
        </is>
      </c>
      <c r="F22" s="3" t="inlineStr">
        <is>
          <t>API gateway / Open Banking</t>
        </is>
      </c>
      <c r="G22" s="3" t="inlineStr">
        <is>
          <t>—</t>
        </is>
      </c>
      <c r="H22" s="8" t="inlineStr">
        <is>
          <t>HQ&lt;-&gt;cust</t>
        </is>
      </c>
      <c r="I22" s="8" t="inlineStr">
        <is>
          <t>digital</t>
        </is>
      </c>
      <c r="J22" s="8" t="inlineStr">
        <is>
          <t>Digital · IT</t>
        </is>
      </c>
      <c r="K22" s="8" t="inlineStr">
        <is>
          <t>Head of Digital</t>
        </is>
      </c>
    </row>
    <row r="23">
      <c r="B23" s="25" t="inlineStr">
        <is>
          <t>E4</t>
        </is>
      </c>
      <c r="C23" s="8" t="inlineStr">
        <is>
          <t>Shared platform</t>
        </is>
      </c>
      <c r="D23" s="8" t="inlineStr">
        <is>
          <t>WP</t>
        </is>
      </c>
      <c r="E23" s="8" t="inlineStr">
        <is>
          <t>Enabling</t>
        </is>
      </c>
      <c r="F23" s="3" t="inlineStr">
        <is>
          <t>Access &amp; authentication</t>
        </is>
      </c>
      <c r="G23" s="3" t="inlineStr">
        <is>
          <t>—</t>
        </is>
      </c>
      <c r="H23" s="8" t="inlineStr">
        <is>
          <t>cust-&gt;HQ</t>
        </is>
      </c>
      <c r="I23" s="8" t="inlineStr">
        <is>
          <t>digital</t>
        </is>
      </c>
      <c r="J23" s="8" t="inlineStr">
        <is>
          <t>IT · Risk</t>
        </is>
      </c>
      <c r="K23" s="8" t="inlineStr">
        <is>
          <t>Head of Information Security</t>
        </is>
      </c>
    </row>
    <row r="24">
      <c r="B24" s="25" t="inlineStr">
        <is>
          <t>S1</t>
        </is>
      </c>
      <c r="C24" s="8" t="inlineStr">
        <is>
          <t>Shared platform</t>
        </is>
      </c>
      <c r="D24" s="8" t="inlineStr">
        <is>
          <t>WP</t>
        </is>
      </c>
      <c r="E24" s="8" t="inlineStr">
        <is>
          <t>Support</t>
        </is>
      </c>
      <c r="F24" s="3" t="inlineStr">
        <is>
          <t>Service &amp; servicing (contact centre)</t>
        </is>
      </c>
      <c r="G24" s="3" t="inlineStr">
        <is>
          <t>—</t>
        </is>
      </c>
      <c r="H24" s="8" t="inlineStr">
        <is>
          <t>HQ-&gt;cust</t>
        </is>
      </c>
      <c r="I24" s="8" t="inlineStr">
        <is>
          <t>digital</t>
        </is>
      </c>
      <c r="J24" s="8" t="inlineStr">
        <is>
          <t>Contact centre</t>
        </is>
      </c>
      <c r="K24" s="8" t="inlineStr">
        <is>
          <t>Head of Customer Service</t>
        </is>
      </c>
    </row>
    <row r="25">
      <c r="B25" s="25" t="inlineStr">
        <is>
          <t>S2</t>
        </is>
      </c>
      <c r="C25" s="8" t="inlineStr">
        <is>
          <t>Shared platform</t>
        </is>
      </c>
      <c r="D25" s="8" t="inlineStr">
        <is>
          <t>WP</t>
        </is>
      </c>
      <c r="E25" s="8" t="inlineStr">
        <is>
          <t>Support</t>
        </is>
      </c>
      <c r="F25" s="3" t="inlineStr">
        <is>
          <t>Statements &amp; advices</t>
        </is>
      </c>
      <c r="G25" s="3" t="inlineStr">
        <is>
          <t>—</t>
        </is>
      </c>
      <c r="H25" s="8" t="inlineStr">
        <is>
          <t>HQ-&gt;cust</t>
        </is>
      </c>
      <c r="I25" s="8" t="inlineStr">
        <is>
          <t>digital</t>
        </is>
      </c>
      <c r="J25" s="8" t="inlineStr">
        <is>
          <t>Document mgmt</t>
        </is>
      </c>
      <c r="K25" s="8" t="inlineStr">
        <is>
          <t>Head of Operations</t>
        </is>
      </c>
    </row>
    <row r="26">
      <c r="B26" s="25" t="inlineStr">
        <is>
          <t>S3</t>
        </is>
      </c>
      <c r="C26" s="8" t="inlineStr">
        <is>
          <t>Shared platform</t>
        </is>
      </c>
      <c r="D26" s="8" t="inlineStr">
        <is>
          <t>WP</t>
        </is>
      </c>
      <c r="E26" s="8" t="inlineStr">
        <is>
          <t>Support</t>
        </is>
      </c>
      <c r="F26" s="3" t="inlineStr">
        <is>
          <t>Complaint handling</t>
        </is>
      </c>
      <c r="G26" s="3" t="inlineStr">
        <is>
          <t>—</t>
        </is>
      </c>
      <c r="H26" s="8" t="inlineStr">
        <is>
          <t>HQ-&gt;cust</t>
        </is>
      </c>
      <c r="I26" s="8" t="inlineStr">
        <is>
          <t>physical</t>
        </is>
      </c>
      <c r="J26" s="8" t="inlineStr">
        <is>
          <t>Case management</t>
        </is>
      </c>
      <c r="K26" s="8" t="inlineStr">
        <is>
          <t>Head of Conduct &amp; Complaints</t>
        </is>
      </c>
    </row>
    <row r="27">
      <c r="B27" s="25" t="inlineStr">
        <is>
          <t>S4</t>
        </is>
      </c>
      <c r="C27" s="8" t="inlineStr">
        <is>
          <t>Shared platform</t>
        </is>
      </c>
      <c r="D27" s="8" t="inlineStr">
        <is>
          <t>WP</t>
        </is>
      </c>
      <c r="E27" s="8" t="inlineStr">
        <is>
          <t>Support</t>
        </is>
      </c>
      <c r="F27" s="3" t="inlineStr">
        <is>
          <t>Fraud resolution &amp; APP reimbursement</t>
        </is>
      </c>
      <c r="G27" s="3" t="inlineStr">
        <is>
          <t>—</t>
        </is>
      </c>
      <c r="H27" s="8" t="inlineStr">
        <is>
          <t>HQ-&gt;cust</t>
        </is>
      </c>
      <c r="I27" s="8" t="inlineStr">
        <is>
          <t>physical</t>
        </is>
      </c>
      <c r="J27" s="8" t="inlineStr">
        <is>
          <t>Fraud &amp; FinCrime</t>
        </is>
      </c>
      <c r="K27" s="8" t="inlineStr">
        <is>
          <t>Head of Financial Crime</t>
        </is>
      </c>
    </row>
    <row r="28">
      <c r="B28" s="25" t="inlineStr">
        <is>
          <t>PartP1</t>
        </is>
      </c>
      <c r="C28" s="8" t="inlineStr">
        <is>
          <t>Bank boundary</t>
        </is>
      </c>
      <c r="D28" s="8" t="inlineStr">
        <is>
          <t>PartP</t>
        </is>
      </c>
      <c r="E28" s="8" t="inlineStr">
        <is>
          <t>Partner</t>
        </is>
      </c>
      <c r="F28" s="3" t="inlineStr">
        <is>
          <t>Partner rails (BoE · schemes · FSCS · CRAs · HMRC)</t>
        </is>
      </c>
      <c r="G28" s="3" t="inlineStr">
        <is>
          <t>—</t>
        </is>
      </c>
      <c r="H28" s="8" t="inlineStr">
        <is>
          <t>HQ&lt;-&gt;partner</t>
        </is>
      </c>
      <c r="I28" s="8" t="inlineStr">
        <is>
          <t>mixed</t>
        </is>
      </c>
      <c r="J28" s="8" t="inlineStr">
        <is>
          <t>Treasury · Ops</t>
        </is>
      </c>
      <c r="K28" s="8" t="inlineStr">
        <is>
          <t>Treasurer</t>
        </is>
      </c>
    </row>
    <row r="29">
      <c r="B29" s="25" t="inlineStr">
        <is>
          <t>PartP2</t>
        </is>
      </c>
      <c r="C29" s="8" t="inlineStr">
        <is>
          <t>Bank boundary</t>
        </is>
      </c>
      <c r="D29" s="8" t="inlineStr">
        <is>
          <t>PartP</t>
        </is>
      </c>
      <c r="E29" s="8" t="inlineStr">
        <is>
          <t>Capital</t>
        </is>
      </c>
      <c r="F29" s="3" t="inlineStr">
        <is>
          <t>Shareholders — equity in · dividends &amp; returns out</t>
        </is>
      </c>
      <c r="G29" s="3" t="inlineStr">
        <is>
          <t>—</t>
        </is>
      </c>
      <c r="H29" s="8" t="inlineStr">
        <is>
          <t>HQ&lt;-&gt;shareholders</t>
        </is>
      </c>
      <c r="I29" s="8" t="inlineStr">
        <is>
          <t>digital</t>
        </is>
      </c>
      <c r="J29" s="8" t="inlineStr">
        <is>
          <t>Finance</t>
        </is>
      </c>
      <c r="K29" s="8" t="inlineStr">
        <is>
          <t>CFO</t>
        </is>
      </c>
    </row>
    <row r="30">
      <c r="B30" s="25" t="inlineStr">
        <is>
          <t>PartP3</t>
        </is>
      </c>
      <c r="C30" s="8" t="inlineStr">
        <is>
          <t>Bank boundary</t>
        </is>
      </c>
      <c r="D30" s="8" t="inlineStr">
        <is>
          <t>PartP</t>
        </is>
      </c>
      <c r="E30" s="8" t="inlineStr">
        <is>
          <t>Labour</t>
        </is>
      </c>
      <c r="F30" s="3" t="inlineStr">
        <is>
          <t>Employees — labour in · salaries out</t>
        </is>
      </c>
      <c r="G30" s="3" t="inlineStr">
        <is>
          <t>—</t>
        </is>
      </c>
      <c r="H30" s="8" t="inlineStr">
        <is>
          <t>HQ&lt;-&gt;employees</t>
        </is>
      </c>
      <c r="I30" s="8" t="inlineStr">
        <is>
          <t>mixed</t>
        </is>
      </c>
      <c r="J30" s="8" t="inlineStr">
        <is>
          <t>HR</t>
        </is>
      </c>
      <c r="K30" s="8" t="inlineStr">
        <is>
          <t>HR Director</t>
        </is>
      </c>
    </row>
    <row r="31">
      <c r="B31" s="25" t="inlineStr">
        <is>
          <t>PartP4</t>
        </is>
      </c>
      <c r="C31" s="8" t="inlineStr">
        <is>
          <t>Bank boundary</t>
        </is>
      </c>
      <c r="D31" s="8" t="inlineStr">
        <is>
          <t>PartP</t>
        </is>
      </c>
      <c r="E31" s="8" t="inlineStr">
        <is>
          <t>Supply</t>
        </is>
      </c>
      <c r="F31" s="3" t="inlineStr">
        <is>
          <t>Suppliers &amp; vendors — services in · payments out</t>
        </is>
      </c>
      <c r="G31" s="3" t="inlineStr">
        <is>
          <t>—</t>
        </is>
      </c>
      <c r="H31" s="8" t="inlineStr">
        <is>
          <t>HQ&lt;-&gt;suppliers</t>
        </is>
      </c>
      <c r="I31" s="8" t="inlineStr">
        <is>
          <t>mixed</t>
        </is>
      </c>
      <c r="J31" s="8" t="inlineStr">
        <is>
          <t>Procurement</t>
        </is>
      </c>
      <c r="K31" s="8" t="inlineStr">
        <is>
          <t>Head of Procurement</t>
        </is>
      </c>
    </row>
    <row r="32">
      <c r="B32" s="25" t="inlineStr">
        <is>
          <t>I1</t>
        </is>
      </c>
      <c r="C32" s="8" t="inlineStr">
        <is>
          <t>Bank boundary</t>
        </is>
      </c>
      <c r="D32" s="8" t="inlineStr">
        <is>
          <t>Info</t>
        </is>
      </c>
      <c r="E32" s="8" t="inlineStr">
        <is>
          <t>Info-out</t>
        </is>
      </c>
      <c r="F32" s="3" t="inlineStr">
        <is>
          <t>Regulatory returns (PRA · FCA · BoE)</t>
        </is>
      </c>
      <c r="G32" s="3" t="inlineStr">
        <is>
          <t>—</t>
        </is>
      </c>
      <c r="H32" s="8" t="inlineStr">
        <is>
          <t>HQ-&gt;regulator</t>
        </is>
      </c>
      <c r="I32" s="8" t="inlineStr">
        <is>
          <t>digital</t>
        </is>
      </c>
      <c r="J32" s="8" t="inlineStr">
        <is>
          <t>Reg reporting</t>
        </is>
      </c>
      <c r="K32" s="8" t="inlineStr">
        <is>
          <t>Head of Regulatory Reporting</t>
        </is>
      </c>
    </row>
    <row r="33">
      <c r="B33" s="25" t="inlineStr">
        <is>
          <t>I2</t>
        </is>
      </c>
      <c r="C33" s="8" t="inlineStr">
        <is>
          <t>Bank boundary</t>
        </is>
      </c>
      <c r="D33" s="8" t="inlineStr">
        <is>
          <t>Info</t>
        </is>
      </c>
      <c r="E33" s="8" t="inlineStr">
        <is>
          <t>Info-out</t>
        </is>
      </c>
      <c r="F33" s="3" t="inlineStr">
        <is>
          <t>Credit performance data to CRAs (reciprocity)</t>
        </is>
      </c>
      <c r="G33" s="3" t="inlineStr">
        <is>
          <t>—</t>
        </is>
      </c>
      <c r="H33" s="8" t="inlineStr">
        <is>
          <t>HQ-&gt;CRAs</t>
        </is>
      </c>
      <c r="I33" s="8" t="inlineStr">
        <is>
          <t>digital</t>
        </is>
      </c>
      <c r="J33" s="8" t="inlineStr">
        <is>
          <t>Credit ops</t>
        </is>
      </c>
      <c r="K33" s="8" t="inlineStr">
        <is>
          <t>Credit Director</t>
        </is>
      </c>
    </row>
    <row r="34">
      <c r="B34" s="25" t="inlineStr">
        <is>
          <t>I3</t>
        </is>
      </c>
      <c r="C34" s="8" t="inlineStr">
        <is>
          <t>Bank boundary</t>
        </is>
      </c>
      <c r="D34" s="8" t="inlineStr">
        <is>
          <t>Info</t>
        </is>
      </c>
      <c r="E34" s="8" t="inlineStr">
        <is>
          <t>Info-out</t>
        </is>
      </c>
      <c r="F34" s="3" t="inlineStr">
        <is>
          <t>Open Banking data to TPPs (via E3)</t>
        </is>
      </c>
      <c r="G34" s="3" t="inlineStr">
        <is>
          <t>—</t>
        </is>
      </c>
      <c r="H34" s="8" t="inlineStr">
        <is>
          <t>HQ-&gt;TPPs</t>
        </is>
      </c>
      <c r="I34" s="8" t="inlineStr">
        <is>
          <t>digital</t>
        </is>
      </c>
      <c r="J34" s="8" t="inlineStr">
        <is>
          <t>Digital · IT</t>
        </is>
      </c>
      <c r="K34" s="8" t="inlineStr">
        <is>
          <t>Head of Digital</t>
        </is>
      </c>
    </row>
    <row r="36">
      <c r="B36" s="5" t="inlineStr">
        <is>
          <t>PER-FLOW COSTED ACTIVITIES — activity cost per flow with [low, high] band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B37" s="29" t="inlineStr">
        <is>
          <t>Flow</t>
        </is>
      </c>
      <c r="C37" s="29" t="inlineStr">
        <is>
          <t>Activity cost (£/yr)</t>
        </is>
      </c>
      <c r="D37" s="29" t="inlineStr">
        <is>
          <t>Low (£/yr)</t>
        </is>
      </c>
      <c r="E37" s="29" t="inlineStr">
        <is>
          <t>High (£/yr)</t>
        </is>
      </c>
      <c r="F37" s="29" t="inlineStr">
        <is>
          <t>Costed via</t>
        </is>
      </c>
    </row>
    <row r="38">
      <c r="B38" s="25" t="inlineStr">
        <is>
          <t>CP1</t>
        </is>
      </c>
      <c r="C38" s="30">
        <f>SUMIF('3. HR &amp; Activity'!$I$10:$I$23,"CP1",'3. HR &amp; Activity'!$H$10:$H$23)</f>
        <v/>
      </c>
      <c r="D38" s="30">
        <f>SUMIF('3. HR &amp; Activity'!$I$10:$I$23,"CP1",'3. HR &amp; Activity'!$J$10:$J$23)</f>
        <v/>
      </c>
      <c r="E38" s="30">
        <f>SUMIF('3. HR &amp; Activity'!$I$10:$I$23,"CP1",'3. HR &amp; Activity'!$K$10:$K$23)</f>
        <v/>
      </c>
      <c r="F38" s="10" t="inlineStr">
        <is>
          <t>HQ corporate-centre pool — no activity rows; pool-costed</t>
        </is>
      </c>
    </row>
    <row r="39">
      <c r="B39" s="25" t="inlineStr">
        <is>
          <t>CA-WP</t>
        </is>
      </c>
      <c r="C39" s="30">
        <f>SUMIF('3. HR &amp; Activity'!$I$10:$I$23,"CA-WP",'3. HR &amp; Activity'!$H$10:$H$23)</f>
        <v/>
      </c>
      <c r="D39" s="30">
        <f>SUMIF('3. HR &amp; Activity'!$I$10:$I$23,"CA-WP",'3. HR &amp; Activity'!$J$10:$J$23)</f>
        <v/>
      </c>
      <c r="E39" s="30">
        <f>SUMIF('3. HR &amp; Activity'!$I$10:$I$23,"CA-WP",'3. HR &amp; Activity'!$K$10:$K$23)</f>
        <v/>
      </c>
      <c r="F39" s="10" t="inlineStr">
        <is>
          <t>Activity rows (onboarding · BCA servicing) + per-account infrastructure drivers</t>
        </is>
      </c>
    </row>
    <row r="40">
      <c r="B40" s="25" t="inlineStr">
        <is>
          <t>SV-WP</t>
        </is>
      </c>
      <c r="C40" s="30">
        <f>SUMIF('3. HR &amp; Activity'!$I$10:$I$23,"SV-WP",'3. HR &amp; Activity'!$H$10:$H$23)</f>
        <v/>
      </c>
      <c r="D40" s="30">
        <f>SUMIF('3. HR &amp; Activity'!$I$10:$I$23,"SV-WP",'3. HR &amp; Activity'!$J$10:$J$23)</f>
        <v/>
      </c>
      <c r="E40" s="30">
        <f>SUMIF('3. HR &amp; Activity'!$I$10:$I$23,"SV-WP",'3. HR &amp; Activity'!$K$10:$K$23)</f>
        <v/>
      </c>
      <c r="F40" s="10" t="inlineStr">
        <is>
          <t>Activity rows (savings &amp; fixed deposit servicing)</t>
        </is>
      </c>
    </row>
    <row r="41">
      <c r="B41" s="25" t="inlineStr">
        <is>
          <t>LN-WP</t>
        </is>
      </c>
      <c r="C41" s="30">
        <f>SUMIF('3. HR &amp; Activity'!$I$10:$I$23,"LN-WP",'3. HR &amp; Activity'!$H$10:$H$23)</f>
        <v/>
      </c>
      <c r="D41" s="30">
        <f>SUMIF('3. HR &amp; Activity'!$I$10:$I$23,"LN-WP",'3. HR &amp; Activity'!$J$10:$J$23)</f>
        <v/>
      </c>
      <c r="E41" s="30">
        <f>SUMIF('3. HR &amp; Activity'!$I$10:$I$23,"LN-WP",'3. HR &amp; Activity'!$K$10:$K$23)</f>
        <v/>
      </c>
      <c r="F41" s="10" t="inlineStr">
        <is>
          <t>Activity rows (underwriting · reviews · renewals · collections · collateral · workout) + RM originate/steward</t>
        </is>
      </c>
    </row>
    <row r="42">
      <c r="B42" s="25" t="inlineStr">
        <is>
          <t>CC-WP</t>
        </is>
      </c>
      <c r="C42" s="30">
        <f>SUMIF('3. HR &amp; Activity'!$I$10:$I$23,"CC-WP",'3. HR &amp; Activity'!$H$10:$H$23)</f>
        <v/>
      </c>
      <c r="D42" s="30">
        <f>SUMIF('3. HR &amp; Activity'!$I$10:$I$23,"CC-WP",'3. HR &amp; Activity'!$J$10:$J$23)</f>
        <v/>
      </c>
      <c r="E42" s="30">
        <f>SUMIF('3. HR &amp; Activity'!$I$10:$I$23,"CC-WP",'3. HR &amp; Activity'!$K$10:$K$23)</f>
        <v/>
      </c>
      <c r="F42" s="10" t="inlineStr">
        <is>
          <t>Activity rows (card servicing · card collections) + credit systems driver</t>
        </is>
      </c>
    </row>
    <row r="43">
      <c r="B43" s="25" t="inlineStr">
        <is>
          <t>PX-WP</t>
        </is>
      </c>
      <c r="C43" s="30">
        <f>SUMIF('3. HR &amp; Activity'!$I$10:$I$23,"PX-WP",'3. HR &amp; Activity'!$H$10:$H$23)</f>
        <v/>
      </c>
      <c r="D43" s="30">
        <f>SUMIF('3. HR &amp; Activity'!$I$10:$I$23,"PX-WP",'3. HR &amp; Activity'!$J$10:$J$23)</f>
        <v/>
      </c>
      <c r="E43" s="30">
        <f>SUMIF('3. HR &amp; Activity'!$I$10:$I$23,"PX-WP",'3. HR &amp; Activity'!$K$10:$K$23)</f>
        <v/>
      </c>
      <c r="F43" s="10" t="inlineStr">
        <is>
          <t>Activity rows (payments &amp; FX support) + payments processing driver</t>
        </is>
      </c>
    </row>
    <row r="44">
      <c r="B44" s="25" t="inlineStr">
        <is>
          <t>E1</t>
        </is>
      </c>
      <c r="C44" s="30">
        <f>SUMIF('3. HR &amp; Activity'!$I$10:$I$23,"E1",'3. HR &amp; Activity'!$H$10:$H$23)</f>
        <v/>
      </c>
      <c r="D44" s="30">
        <f>SUMIF('3. HR &amp; Activity'!$I$10:$I$23,"E1",'3. HR &amp; Activity'!$J$10:$J$23)</f>
        <v/>
      </c>
      <c r="E44" s="30">
        <f>SUMIF('3. HR &amp; Activity'!$I$10:$I$23,"E1",'3. HR &amp; Activity'!$K$10:$K$23)</f>
        <v/>
      </c>
      <c r="F44" s="10" t="inlineStr">
        <is>
          <t>Unit platform £50/customer + HQ tech pool — no activity rows</t>
        </is>
      </c>
    </row>
    <row r="45">
      <c r="B45" s="25" t="inlineStr">
        <is>
          <t>S4</t>
        </is>
      </c>
      <c r="C45" s="30">
        <f>SUMIF('3. HR &amp; Activity'!$I$10:$I$23,"S4",'3. HR &amp; Activity'!$H$10:$H$23)</f>
        <v/>
      </c>
      <c r="D45" s="30">
        <f>SUMIF('3. HR &amp; Activity'!$I$10:$I$23,"S4",'3. HR &amp; Activity'!$J$10:$J$23)</f>
        <v/>
      </c>
      <c r="E45" s="30">
        <f>SUMIF('3. HR &amp; Activity'!$I$10:$I$23,"S4",'3. HR &amp; Activity'!$K$10:$K$23)</f>
        <v/>
      </c>
      <c r="F45" s="10" t="inlineStr">
        <is>
          <t>HQ risk pool + fraud loss line (P&amp;L); reimbursement outflow in fidelity table</t>
        </is>
      </c>
    </row>
    <row r="46">
      <c r="B46" s="25" t="inlineStr">
        <is>
          <t>PartP3</t>
        </is>
      </c>
      <c r="C46" s="30">
        <f>SUMIF('3. HR &amp; Activity'!$I$10:$I$23,"PartP3",'3. HR &amp; Activity'!$H$10:$H$23)</f>
        <v/>
      </c>
      <c r="D46" s="30">
        <f>SUMIF('3. HR &amp; Activity'!$I$10:$I$23,"PartP3",'3. HR &amp; Activity'!$J$10:$J$23)</f>
        <v/>
      </c>
      <c r="E46" s="30">
        <f>SUMIF('3. HR &amp; Activity'!$I$10:$I$23,"PartP3",'3. HR &amp; Activity'!$K$10:$K$23)</f>
        <v/>
      </c>
      <c r="F46" s="10" t="inlineStr">
        <is>
          <t>ALL front-line salary cost = the activity rows themselves; HQ salaries in HQ pools</t>
        </is>
      </c>
    </row>
    <row r="47">
      <c r="B47" s="25" t="inlineStr">
        <is>
          <t>PartP4</t>
        </is>
      </c>
      <c r="C47" s="30">
        <f>SUMIF('3. HR &amp; Activity'!$I$10:$I$23,"PartP4",'3. HR &amp; Activity'!$H$10:$H$23)</f>
        <v/>
      </c>
      <c r="D47" s="30">
        <f>SUMIF('3. HR &amp; Activity'!$I$10:$I$23,"PartP4",'3. HR &amp; Activity'!$J$10:$J$23)</f>
        <v/>
      </c>
      <c r="E47" s="30">
        <f>SUMIF('3. HR &amp; Activity'!$I$10:$I$23,"PartP4",'3. HR &amp; Activity'!$K$10:$K$23)</f>
        <v/>
      </c>
      <c r="F47" s="10" t="inlineStr">
        <is>
          <t>Premises · depreciation · other · tech vendor lines (tab 4)</t>
        </is>
      </c>
    </row>
    <row r="48">
      <c r="B48" s="36" t="inlineStr">
        <is>
          <t>CHECK — activity costs fully allocated to flows</t>
        </is>
      </c>
      <c r="C48" s="30">
        <f>SUMPRODUCT(('3. HR &amp; Activity'!$I$10:$I$23&lt;&gt;"")*'3. HR &amp; Activity'!$H$10:$H$23)-('4. Running Costs'!$C$23)</f>
        <v/>
      </c>
      <c r="F48" s="4" t="inlineStr">
        <is>
          <t>tagged activity cost minus analyst &amp; service payroll → 0</t>
        </is>
      </c>
    </row>
    <row r="50">
      <c r="B50" s="5" t="inlineStr">
        <is>
          <t>BANK-BOUNDARY FIDELITY CHECK — every P&amp;L money outflow ties to a flow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B51" s="7" t="inlineStr">
        <is>
          <t>P&amp;L outflow</t>
        </is>
      </c>
      <c r="C51" s="7" t="inlineStr">
        <is>
          <t>Carried by flow</t>
        </is>
      </c>
      <c r="D51" s="7" t="inlineStr">
        <is>
          <t>Status</t>
        </is>
      </c>
    </row>
    <row r="52">
      <c r="B52" s="3" t="inlineStr">
        <is>
          <t>Deposit interest paid (3.20% / 4.30%)</t>
        </is>
      </c>
      <c r="C52" s="3" t="inlineStr">
        <is>
          <t>SV-PP2</t>
        </is>
      </c>
      <c r="D52" s="8" t="inlineStr">
        <is>
          <t>✓</t>
        </is>
      </c>
    </row>
    <row r="53">
      <c r="B53" s="3" t="inlineStr">
        <is>
          <t>Wholesale funding &amp; liquidity-buffer give-up (inside FTP)</t>
        </is>
      </c>
      <c r="C53" s="3" t="inlineStr">
        <is>
          <t>PartP1 — BoE / markets</t>
        </is>
      </c>
      <c r="D53" s="8" t="inlineStr">
        <is>
          <t>✓</t>
        </is>
      </c>
    </row>
    <row r="54">
      <c r="B54" s="3" t="inlineStr">
        <is>
          <t>Staff salaries &amp; benefits</t>
        </is>
      </c>
      <c r="C54" s="3" t="inlineStr">
        <is>
          <t>PartP3 — Employees</t>
        </is>
      </c>
      <c r="D54" s="8" t="inlineStr">
        <is>
          <t>✓</t>
        </is>
      </c>
    </row>
    <row r="55">
      <c r="B55" s="3" t="inlineStr">
        <is>
          <t>Premises · depreciation · other · tech &amp; vendors</t>
        </is>
      </c>
      <c r="C55" s="3" t="inlineStr">
        <is>
          <t>PartP4 — Suppliers</t>
        </is>
      </c>
      <c r="D55" s="8" t="inlineStr">
        <is>
          <t>✓</t>
        </is>
      </c>
    </row>
    <row r="56">
      <c r="B56" s="3" t="inlineStr">
        <is>
          <t>Fraud &amp; APP reimbursement to customers</t>
        </is>
      </c>
      <c r="C56" s="3" t="inlineStr">
        <is>
          <t>S4 outflow</t>
        </is>
      </c>
      <c r="D56" s="8" t="inlineStr">
        <is>
          <t>✓</t>
        </is>
      </c>
    </row>
    <row r="57">
      <c r="B57" s="3" t="inlineStr">
        <is>
          <t>FSCS levy</t>
        </is>
      </c>
      <c r="C57" s="3" t="inlineStr">
        <is>
          <t>PartP1 — FSCS</t>
        </is>
      </c>
      <c r="D57" s="8" t="inlineStr">
        <is>
          <t>✓</t>
        </is>
      </c>
    </row>
    <row r="58">
      <c r="B58" s="3" t="inlineStr">
        <is>
          <t>Card scheme fees</t>
        </is>
      </c>
      <c r="C58" s="3" t="inlineStr">
        <is>
          <t>CC-PP1 (inside tech pool)</t>
        </is>
      </c>
      <c r="D58" s="8" t="inlineStr">
        <is>
          <t>✓</t>
        </is>
      </c>
    </row>
    <row r="59">
      <c r="B59" s="3" t="inlineStr">
        <is>
          <t>Change-the-bank spend</t>
        </is>
      </c>
      <c r="C59" s="3" t="inlineStr">
        <is>
          <t>PartP4 — Suppliers (portfolio hurdle)</t>
        </is>
      </c>
      <c r="D59" s="8" t="inlineStr">
        <is>
          <t>✓</t>
        </is>
      </c>
    </row>
    <row r="60">
      <c r="B60" s="3" t="inlineStr">
        <is>
          <t>Tax (28%)</t>
        </is>
      </c>
      <c r="C60" s="3" t="inlineStr">
        <is>
          <t>PartP1 — HMRC</t>
        </is>
      </c>
      <c r="D60" s="8" t="inlineStr">
        <is>
          <t>✓</t>
        </is>
      </c>
    </row>
    <row r="61">
      <c r="B61" s="3" t="inlineStr">
        <is>
          <t>Dividends / required return on equity</t>
        </is>
      </c>
      <c r="C61" s="3" t="inlineStr">
        <is>
          <t>PartP2 — Shareholders</t>
        </is>
      </c>
      <c r="D61" s="8" t="inlineStr">
        <is>
          <t>✓</t>
        </is>
      </c>
    </row>
    <row r="62">
      <c r="B62" s="3" t="inlineStr">
        <is>
          <t>Expected credit losses</t>
        </is>
      </c>
      <c r="C62" s="3" t="inlineStr">
        <is>
          <t>non-cash provision; cash leaves at drawdown (LN-PP1), partial return via workout (LN-WP)</t>
        </is>
      </c>
      <c r="D62" s="8" t="inlineStr">
        <is>
          <t>note</t>
        </is>
      </c>
    </row>
    <row r="64">
      <c r="B64" s="5" t="inlineStr">
        <is>
          <t>MODULE ROLL-UP — each product module's economics (pulls from tabs 2 &amp; 6)</t>
        </is>
      </c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B65" s="29" t="inlineStr">
        <is>
          <t>Module</t>
        </is>
      </c>
      <c r="C65" s="29" t="inlineStr">
        <is>
          <t>Product</t>
        </is>
      </c>
      <c r="D65" s="29" t="inlineStr">
        <is>
          <t>Keys</t>
        </is>
      </c>
      <c r="E65" s="29" t="inlineStr">
        <is>
          <t>Revenue (£/yr)</t>
        </is>
      </c>
      <c r="F65" s="29" t="inlineStr">
        <is>
          <t>Contribution (£/yr)</t>
        </is>
      </c>
      <c r="G65" s="29" t="inlineStr">
        <is>
          <t>Economic contribution (£/yr)</t>
        </is>
      </c>
    </row>
    <row r="66">
      <c r="B66" s="25" t="inlineStr">
        <is>
          <t>CA</t>
        </is>
      </c>
      <c r="C66" s="8" t="inlineStr">
        <is>
          <t>Current account</t>
        </is>
      </c>
      <c r="D66" s="38" t="inlineStr">
        <is>
          <t>bca</t>
        </is>
      </c>
      <c r="E66" s="30">
        <f>'2. Revenues'!$M$5</f>
        <v/>
      </c>
      <c r="F66" s="30">
        <f>'6. Unit Economics'!C23</f>
        <v/>
      </c>
      <c r="G66" s="30">
        <f>'6. Unit Economics'!C24</f>
        <v/>
      </c>
    </row>
    <row r="67">
      <c r="B67" s="25" t="inlineStr">
        <is>
          <t>SV</t>
        </is>
      </c>
      <c r="C67" s="8" t="inlineStr">
        <is>
          <t>Savings &amp; deposits</t>
        </is>
      </c>
      <c r="D67" s="38" t="inlineStr">
        <is>
          <t>sav + dep</t>
        </is>
      </c>
      <c r="E67" s="30">
        <f>'2. Revenues'!$M$6+'2. Revenues'!$M$7</f>
        <v/>
      </c>
      <c r="F67" s="30">
        <f>'6. Unit Economics'!D23+'6. Unit Economics'!E23</f>
        <v/>
      </c>
      <c r="G67" s="30">
        <f>'6. Unit Economics'!D24+'6. Unit Economics'!E24</f>
        <v/>
      </c>
    </row>
    <row r="68">
      <c r="B68" s="25" t="inlineStr">
        <is>
          <t>LN</t>
        </is>
      </c>
      <c r="C68" s="8" t="inlineStr">
        <is>
          <t>Lending &amp; credit</t>
        </is>
      </c>
      <c r="D68" s="38" t="inlineStr">
        <is>
          <t>od + loan</t>
        </is>
      </c>
      <c r="E68" s="30">
        <f>'2. Revenues'!$M$8+'2. Revenues'!$M$9</f>
        <v/>
      </c>
      <c r="F68" s="30">
        <f>'6. Unit Economics'!F23+'6. Unit Economics'!G23</f>
        <v/>
      </c>
      <c r="G68" s="30">
        <f>'6. Unit Economics'!F24+'6. Unit Economics'!G24</f>
        <v/>
      </c>
    </row>
    <row r="69">
      <c r="B69" s="25" t="inlineStr">
        <is>
          <t>CC</t>
        </is>
      </c>
      <c r="C69" s="8" t="inlineStr">
        <is>
          <t>Business credit card</t>
        </is>
      </c>
      <c r="D69" s="38" t="inlineStr">
        <is>
          <t>card</t>
        </is>
      </c>
      <c r="E69" s="30">
        <f>'2. Revenues'!$M$10</f>
        <v/>
      </c>
      <c r="F69" s="30">
        <f>'6. Unit Economics'!H23</f>
        <v/>
      </c>
      <c r="G69" s="30">
        <f>'6. Unit Economics'!H24</f>
        <v/>
      </c>
    </row>
    <row r="70">
      <c r="B70" s="25" t="inlineStr">
        <is>
          <t>PX</t>
        </is>
      </c>
      <c r="C70" s="8" t="inlineStr">
        <is>
          <t>Payments &amp; FX</t>
        </is>
      </c>
      <c r="D70" s="38" t="inlineStr">
        <is>
          <t>fx</t>
        </is>
      </c>
      <c r="E70" s="30">
        <f>'2. Revenues'!$M$11</f>
        <v/>
      </c>
      <c r="F70" s="30">
        <f>'6. Unit Economics'!I23</f>
        <v/>
      </c>
      <c r="G70" s="30">
        <f>'6. Unit Economics'!I24</f>
        <v/>
      </c>
    </row>
    <row r="71">
      <c r="B71" s="36" t="inlineStr">
        <is>
          <t>TOTAL</t>
        </is>
      </c>
      <c r="E71" s="31">
        <f>SUM(E66:E70)</f>
        <v/>
      </c>
      <c r="F71" s="31">
        <f>SUM(F66:F70)</f>
        <v/>
      </c>
      <c r="G71" s="31">
        <f>SUM(G66:G70)</f>
        <v/>
      </c>
    </row>
    <row r="72">
      <c r="B72" s="10" t="inlineStr">
        <is>
          <t>Traceability chain: CTM state change → module WP → activities tagged with the flow ID (tab 3) → FTEs &amp; costs (tabs 3–4) → per-product economics (tab 6) → module roll-up. One ID system end to end.</t>
        </is>
      </c>
    </row>
  </sheetData>
  <mergeCells count="1">
    <mergeCell ref="B72:K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2026-08-11T14:05:44Z</dcterms:created>
  <dcterms:modified xmlns:dcterms="http://purl.org/dc/terms/" xmlns:xsi="http://www.w3.org/2001/XMLSchema-instance" xsi:type="dcterms:W3CDTF">2026-08-11T14:05:44Z</dcterms:modified>
</cp:coreProperties>
</file>